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1.xml" ContentType="application/vnd.openxmlformats-officedocument.spreadsheetml.comments+xml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B:\MEGA\"/>
    </mc:Choice>
  </mc:AlternateContent>
  <xr:revisionPtr revIDLastSave="0" documentId="13_ncr:1_{E77D1CB1-ADEE-4535-91D1-D6FDB1DE7AA5}" xr6:coauthVersionLast="47" xr6:coauthVersionMax="47" xr10:uidLastSave="{00000000-0000-0000-0000-000000000000}"/>
  <bookViews>
    <workbookView xWindow="7090" yWindow="1160" windowWidth="25400" windowHeight="10620" tabRatio="527" xr2:uid="{3F0F73BD-F4F4-4E53-92D4-9CB17EFBF27E}"/>
  </bookViews>
  <sheets>
    <sheet name="LDR" sheetId="6" r:id="rId1"/>
    <sheet name="Зарплата" sheetId="2" r:id="rId2"/>
    <sheet name="Пароли" sheetId="5" r:id="rId3"/>
  </sheets>
  <definedNames>
    <definedName name="_xlnm._FilterDatabase" localSheetId="2" hidden="1">Пароли!$A$6:$C$280</definedName>
    <definedName name="_xlnm.Print_Area" localSheetId="1">Зарплата!$A$1:$S$21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" i="2" l="1"/>
  <c r="P10" i="2"/>
  <c r="E21" i="2" l="1"/>
  <c r="E17" i="2"/>
  <c r="Q21" i="2"/>
  <c r="P21" i="2"/>
  <c r="O21" i="2"/>
  <c r="M21" i="2"/>
  <c r="L21" i="2"/>
  <c r="K21" i="2"/>
  <c r="I21" i="2"/>
  <c r="H21" i="2"/>
  <c r="G21" i="2"/>
  <c r="J21" i="2" s="1"/>
  <c r="D21" i="2"/>
  <c r="C21" i="2"/>
  <c r="Q17" i="2"/>
  <c r="P17" i="2"/>
  <c r="O17" i="2"/>
  <c r="M17" i="2"/>
  <c r="L17" i="2"/>
  <c r="K17" i="2"/>
  <c r="I17" i="2"/>
  <c r="H17" i="2"/>
  <c r="G17" i="2"/>
  <c r="D17" i="2"/>
  <c r="C17" i="2"/>
  <c r="S14" i="2"/>
  <c r="S20" i="2"/>
  <c r="S19" i="2"/>
  <c r="S18" i="2"/>
  <c r="S16" i="2"/>
  <c r="S15" i="2"/>
  <c r="R14" i="2"/>
  <c r="R20" i="2"/>
  <c r="R19" i="2"/>
  <c r="R18" i="2"/>
  <c r="R16" i="2"/>
  <c r="R15" i="2"/>
  <c r="N20" i="2"/>
  <c r="N19" i="2"/>
  <c r="N18" i="2"/>
  <c r="N16" i="2"/>
  <c r="N15" i="2"/>
  <c r="N14" i="2"/>
  <c r="J20" i="2"/>
  <c r="J19" i="2"/>
  <c r="J18" i="2"/>
  <c r="J16" i="2"/>
  <c r="J15" i="2"/>
  <c r="J14" i="2"/>
  <c r="F20" i="2"/>
  <c r="F19" i="2"/>
  <c r="F18" i="2"/>
  <c r="F16" i="2"/>
  <c r="F15" i="2"/>
  <c r="F14" i="2"/>
  <c r="R3" i="2"/>
  <c r="R4" i="2"/>
  <c r="R7" i="2"/>
  <c r="R8" i="2"/>
  <c r="R11" i="2"/>
  <c r="R12" i="2"/>
  <c r="N4" i="2"/>
  <c r="N6" i="2"/>
  <c r="N7" i="2"/>
  <c r="N8" i="2"/>
  <c r="N10" i="2"/>
  <c r="N11" i="2"/>
  <c r="N12" i="2"/>
  <c r="N2" i="2"/>
  <c r="J3" i="2"/>
  <c r="J4" i="2"/>
  <c r="J6" i="2"/>
  <c r="J7" i="2"/>
  <c r="J8" i="2"/>
  <c r="J11" i="2"/>
  <c r="J12" i="2"/>
  <c r="J2" i="2"/>
  <c r="F4" i="2"/>
  <c r="F8" i="2"/>
  <c r="F7" i="2"/>
  <c r="F11" i="2"/>
  <c r="F12" i="2"/>
  <c r="F6" i="2"/>
  <c r="F3" i="2"/>
  <c r="F2" i="2"/>
  <c r="S7" i="2"/>
  <c r="S8" i="2"/>
  <c r="S11" i="2"/>
  <c r="S12" i="2"/>
  <c r="S4" i="2"/>
  <c r="H10" i="2"/>
  <c r="H13" i="2" s="1"/>
  <c r="G10" i="2"/>
  <c r="G13" i="2" s="1"/>
  <c r="E13" i="2"/>
  <c r="D13" i="2"/>
  <c r="I13" i="2"/>
  <c r="K13" i="2"/>
  <c r="L13" i="2"/>
  <c r="M13" i="2"/>
  <c r="O13" i="2"/>
  <c r="P13" i="2"/>
  <c r="Q13" i="2"/>
  <c r="C10" i="2"/>
  <c r="C13" i="2" s="1"/>
  <c r="Q6" i="2"/>
  <c r="S6" i="2" s="1"/>
  <c r="K9" i="2"/>
  <c r="C9" i="2"/>
  <c r="D9" i="2"/>
  <c r="E9" i="2"/>
  <c r="G9" i="2"/>
  <c r="H9" i="2"/>
  <c r="I9" i="2"/>
  <c r="L9" i="2"/>
  <c r="M9" i="2"/>
  <c r="O9" i="2"/>
  <c r="P9" i="2"/>
  <c r="Q2" i="2"/>
  <c r="Q5" i="2" s="1"/>
  <c r="C5" i="2"/>
  <c r="D5" i="2"/>
  <c r="E5" i="2"/>
  <c r="G5" i="2"/>
  <c r="H5" i="2"/>
  <c r="I5" i="2"/>
  <c r="L5" i="2"/>
  <c r="M5" i="2"/>
  <c r="O5" i="2"/>
  <c r="P5" i="2"/>
  <c r="K3" i="2"/>
  <c r="K5" i="2" s="1"/>
  <c r="N5" i="2" s="1"/>
  <c r="R17" i="2" l="1"/>
  <c r="F5" i="2"/>
  <c r="J13" i="2"/>
  <c r="F21" i="2"/>
  <c r="S17" i="2"/>
  <c r="F17" i="2"/>
  <c r="N21" i="2"/>
  <c r="R5" i="2"/>
  <c r="J17" i="2"/>
  <c r="S21" i="2"/>
  <c r="R21" i="2"/>
  <c r="N13" i="2"/>
  <c r="S2" i="2"/>
  <c r="N17" i="2"/>
  <c r="R13" i="2"/>
  <c r="N9" i="2"/>
  <c r="J9" i="2"/>
  <c r="J5" i="2"/>
  <c r="R2" i="2"/>
  <c r="R6" i="2"/>
  <c r="N3" i="2"/>
  <c r="J10" i="2"/>
  <c r="F10" i="2"/>
  <c r="S13" i="2"/>
  <c r="S10" i="2"/>
  <c r="S3" i="2"/>
  <c r="Q9" i="2"/>
  <c r="S9" i="2" s="1"/>
  <c r="F9" i="2"/>
  <c r="S5" i="2"/>
  <c r="F13" i="2"/>
  <c r="R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Professional</author>
  </authors>
  <commentList>
    <comment ref="T10" authorId="0" shapeId="0" xr:uid="{BCB6C34C-D990-43AC-A96E-BDB9C415A047}">
      <text>
        <r>
          <rPr>
            <b/>
            <sz val="9"/>
            <color indexed="81"/>
            <rFont val="Tahoma"/>
            <family val="2"/>
            <charset val="204"/>
          </rPr>
          <t>ФИО</t>
        </r>
        <r>
          <rPr>
            <sz val="9"/>
            <color indexed="81"/>
            <rFont val="Tahoma"/>
            <charset val="1"/>
          </rPr>
          <t xml:space="preserve">: Винников Максим Викторович
</t>
        </r>
        <r>
          <rPr>
            <b/>
            <sz val="9"/>
            <color indexed="81"/>
            <rFont val="Tahoma"/>
            <family val="2"/>
            <charset val="204"/>
          </rPr>
          <t>Юр. лицо</t>
        </r>
        <r>
          <rPr>
            <sz val="9"/>
            <color indexed="81"/>
            <rFont val="Tahoma"/>
            <charset val="1"/>
          </rPr>
          <t xml:space="preserve">: ООО "ВейвПоинт"
</t>
        </r>
        <r>
          <rPr>
            <b/>
            <sz val="9"/>
            <color indexed="81"/>
            <rFont val="Tahoma"/>
            <family val="2"/>
            <charset val="204"/>
          </rPr>
          <t>Доп. юр.лицо</t>
        </r>
        <r>
          <rPr>
            <sz val="9"/>
            <color indexed="81"/>
            <rFont val="Tahoma"/>
            <charset val="1"/>
          </rPr>
          <t xml:space="preserve">: 
</t>
        </r>
        <r>
          <rPr>
            <b/>
            <sz val="9"/>
            <color indexed="81"/>
            <rFont val="Tahoma"/>
            <family val="2"/>
            <charset val="204"/>
          </rPr>
          <t>Первый день в офисе</t>
        </r>
        <r>
          <rPr>
            <sz val="9"/>
            <color indexed="81"/>
            <rFont val="Tahoma"/>
            <charset val="1"/>
          </rPr>
          <t xml:space="preserve">: 12/04/2021
</t>
        </r>
        <r>
          <rPr>
            <b/>
            <sz val="9"/>
            <color indexed="81"/>
            <rFont val="Tahoma"/>
            <family val="2"/>
            <charset val="204"/>
          </rPr>
          <t>Последний день в офисе</t>
        </r>
        <r>
          <rPr>
            <sz val="9"/>
            <color indexed="81"/>
            <rFont val="Tahoma"/>
            <charset val="1"/>
          </rPr>
          <t xml:space="preserve">: 02/04/2021
</t>
        </r>
        <r>
          <rPr>
            <b/>
            <sz val="9"/>
            <color indexed="81"/>
            <rFont val="Tahoma"/>
            <family val="2"/>
            <charset val="204"/>
          </rPr>
          <t>Дата начала</t>
        </r>
        <r>
          <rPr>
            <sz val="9"/>
            <color indexed="81"/>
            <rFont val="Tahoma"/>
            <charset val="1"/>
          </rPr>
          <t xml:space="preserve">: 05/04/2021
</t>
        </r>
        <r>
          <rPr>
            <b/>
            <sz val="9"/>
            <color indexed="81"/>
            <rFont val="Tahoma"/>
            <family val="2"/>
            <charset val="204"/>
          </rPr>
          <t>Дата окончания</t>
        </r>
        <r>
          <rPr>
            <sz val="9"/>
            <color indexed="81"/>
            <rFont val="Tahoma"/>
            <charset val="1"/>
          </rPr>
          <t xml:space="preserve">: 11/04/2021
</t>
        </r>
        <r>
          <rPr>
            <b/>
            <sz val="9"/>
            <color indexed="81"/>
            <rFont val="Tahoma"/>
            <family val="2"/>
            <charset val="204"/>
          </rPr>
          <t>Комментарий сотрудника</t>
        </r>
        <r>
          <rPr>
            <sz val="9"/>
            <color indexed="81"/>
            <rFont val="Tahoma"/>
            <charset val="1"/>
          </rPr>
          <t>: Неделя отдыха для разгрузки мозга.</t>
        </r>
      </text>
    </comment>
    <comment ref="T11" authorId="0" shapeId="0" xr:uid="{880B3C9A-CDFC-4273-91F0-031A4B353491}">
      <text>
        <r>
          <rPr>
            <b/>
            <sz val="9"/>
            <color indexed="81"/>
            <rFont val="Tahoma"/>
            <family val="2"/>
            <charset val="204"/>
          </rPr>
          <t>ФИО:</t>
        </r>
        <r>
          <rPr>
            <sz val="9"/>
            <color indexed="81"/>
            <rFont val="Tahoma"/>
            <family val="2"/>
            <charset val="204"/>
          </rPr>
          <t xml:space="preserve"> Винников Максим Викторович
</t>
        </r>
        <r>
          <rPr>
            <b/>
            <sz val="9"/>
            <color indexed="81"/>
            <rFont val="Tahoma"/>
            <family val="2"/>
            <charset val="204"/>
          </rPr>
          <t>Юр. лицо:</t>
        </r>
        <r>
          <rPr>
            <sz val="9"/>
            <color indexed="81"/>
            <rFont val="Tahoma"/>
            <family val="2"/>
            <charset val="204"/>
          </rPr>
          <t xml:space="preserve"> ООО "ВейвПоинт"
</t>
        </r>
        <r>
          <rPr>
            <b/>
            <sz val="9"/>
            <color indexed="81"/>
            <rFont val="Tahoma"/>
            <family val="2"/>
            <charset val="204"/>
          </rPr>
          <t>Последний день в офисе:</t>
        </r>
        <r>
          <rPr>
            <sz val="9"/>
            <color indexed="81"/>
            <rFont val="Tahoma"/>
            <family val="2"/>
            <charset val="204"/>
          </rPr>
          <t xml:space="preserve"> 29/10/2021
</t>
        </r>
        <r>
          <rPr>
            <b/>
            <sz val="9"/>
            <color indexed="81"/>
            <rFont val="Tahoma"/>
            <family val="2"/>
            <charset val="204"/>
          </rPr>
          <t>Первый день в офисе:</t>
        </r>
        <r>
          <rPr>
            <sz val="9"/>
            <color indexed="81"/>
            <rFont val="Tahoma"/>
            <family val="2"/>
            <charset val="204"/>
          </rPr>
          <t xml:space="preserve"> 15/11/2021
</t>
        </r>
        <r>
          <rPr>
            <b/>
            <sz val="9"/>
            <color indexed="81"/>
            <rFont val="Tahoma"/>
            <family val="2"/>
            <charset val="204"/>
          </rPr>
          <t>Дата начала:</t>
        </r>
        <r>
          <rPr>
            <sz val="9"/>
            <color indexed="81"/>
            <rFont val="Tahoma"/>
            <family val="2"/>
            <charset val="204"/>
          </rPr>
          <t xml:space="preserve"> 01/11/2021
</t>
        </r>
        <r>
          <rPr>
            <b/>
            <sz val="9"/>
            <color indexed="81"/>
            <rFont val="Tahoma"/>
            <family val="2"/>
            <charset val="204"/>
          </rPr>
          <t>Дата окончания:</t>
        </r>
        <r>
          <rPr>
            <sz val="9"/>
            <color indexed="81"/>
            <rFont val="Tahoma"/>
            <family val="2"/>
            <charset val="204"/>
          </rPr>
          <t xml:space="preserve"> 14/11/2021
</t>
        </r>
        <r>
          <rPr>
            <b/>
            <sz val="9"/>
            <color indexed="81"/>
            <rFont val="Tahoma"/>
            <family val="2"/>
            <charset val="204"/>
          </rPr>
          <t>Комментарий сотрудника:</t>
        </r>
        <r>
          <rPr>
            <sz val="9"/>
            <color indexed="81"/>
            <rFont val="Tahoma"/>
            <family val="2"/>
            <charset val="204"/>
          </rPr>
          <t xml:space="preserve"> Время для отдыха</t>
        </r>
      </text>
    </comment>
  </commentList>
</comments>
</file>

<file path=xl/sharedStrings.xml><?xml version="1.0" encoding="utf-8"?>
<sst xmlns="http://schemas.openxmlformats.org/spreadsheetml/2006/main" count="867" uniqueCount="432">
  <si>
    <t>Год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</si>
  <si>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</si>
  <si>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</si>
  <si>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</si>
  <si>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</si>
  <si>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</si>
  <si>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</si>
  <si>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</si>
  <si>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</si>
  <si>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</si>
  <si>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</si>
  <si>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</si>
  <si>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</si>
  <si>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Отпуск</t>
  </si>
  <si>
    <t>Сумма</t>
  </si>
  <si>
    <t>[28-03] Зарплата</t>
  </si>
  <si>
    <t>[14-15] Премия</t>
  </si>
  <si>
    <t>[15-16] Бонусы</t>
  </si>
  <si>
    <t>7 дней</t>
  </si>
  <si>
    <t>192.168.0.1</t>
  </si>
  <si>
    <t>admin</t>
  </si>
  <si>
    <t>HMKw9UB2</t>
  </si>
  <si>
    <t>192.168.1.1</t>
  </si>
  <si>
    <t>MD5hU3IHcC4lo6c7lPWp</t>
  </si>
  <si>
    <t>mixer57</t>
  </si>
  <si>
    <t>22tkdf8XX6</t>
  </si>
  <si>
    <t>192.168.100.1</t>
  </si>
  <si>
    <t>telecomadmin</t>
  </si>
  <si>
    <t>admintelecom</t>
  </si>
  <si>
    <t>192.168.144.1</t>
  </si>
  <si>
    <t>sbir301CKL</t>
  </si>
  <si>
    <t>192.168.144.250</t>
  </si>
  <si>
    <t>Mixer57</t>
  </si>
  <si>
    <t>ru.4game.com</t>
  </si>
  <si>
    <t>KyUTVl@mailgator.org</t>
  </si>
  <si>
    <t>Tpzb5LQyny3ET2f</t>
  </si>
  <si>
    <t>mixer57@4qmail.com</t>
  </si>
  <si>
    <t>26br8edajc</t>
  </si>
  <si>
    <t>4pda.ru</t>
  </si>
  <si>
    <t>4pda.to</t>
  </si>
  <si>
    <t>7themes.su</t>
  </si>
  <si>
    <t>82.200.106.148</t>
  </si>
  <si>
    <t>postmaster</t>
  </si>
  <si>
    <t>IsPostMstrPas$</t>
  </si>
  <si>
    <t>root</t>
  </si>
  <si>
    <t>IsMXbf5zeT</t>
  </si>
  <si>
    <t>absolem-market.ru</t>
  </si>
  <si>
    <t>Fox2194@gmail.com</t>
  </si>
  <si>
    <t>Filis2194</t>
  </si>
  <si>
    <t>edu.admtyumen.ru</t>
  </si>
  <si>
    <t>filis2194</t>
  </si>
  <si>
    <t>id.aeroflot.ru</t>
  </si>
  <si>
    <t>alfa3</t>
  </si>
  <si>
    <t>Test-Document</t>
  </si>
  <si>
    <t>VinnikovMV</t>
  </si>
  <si>
    <t>Админ</t>
  </si>
  <si>
    <t>E3p4A9ix</t>
  </si>
  <si>
    <t>alfabank.ru</t>
  </si>
  <si>
    <t>anastasiya53535@mail.ru</t>
  </si>
  <si>
    <t>29102014qw</t>
  </si>
  <si>
    <t>click.alfabank.ru</t>
  </si>
  <si>
    <t>accounts.alibaba.com</t>
  </si>
  <si>
    <t>5545802qw</t>
  </si>
  <si>
    <t>passport.alibaba.com</t>
  </si>
  <si>
    <t>m.aliexpress.com</t>
  </si>
  <si>
    <t>fox2194@gmail.com</t>
  </si>
  <si>
    <t>login.aliexpress.com</t>
  </si>
  <si>
    <t>passport.aliexpress.com</t>
  </si>
  <si>
    <t>ru.aliexpress.com</t>
  </si>
  <si>
    <t>anonfile.com</t>
  </si>
  <si>
    <t>cabinet.appfuscator.com</t>
  </si>
  <si>
    <t>mixer57@gmail.com</t>
  </si>
  <si>
    <t>account.ascertia.com</t>
  </si>
  <si>
    <t>Maksim.vinnikov@waveaccess.ru</t>
  </si>
  <si>
    <t>26br8edaJC</t>
  </si>
  <si>
    <t>maksim.vinnikov@waveaccess.ru</t>
  </si>
  <si>
    <t>id.atlassian.com</t>
  </si>
  <si>
    <t>Maksim.Vinnikov@waveaccess.ru</t>
  </si>
  <si>
    <t>gms6r2iK</t>
  </si>
  <si>
    <t>atrium-omsk.ru</t>
  </si>
  <si>
    <t>mixer57@ro.ru</t>
  </si>
  <si>
    <t>Mixer57@ro.ru</t>
  </si>
  <si>
    <t>id.avast.com</t>
  </si>
  <si>
    <t>Mixer57@Rambler.ru</t>
  </si>
  <si>
    <t>22tkdf8xx6</t>
  </si>
  <si>
    <t>sb@polyot.su</t>
  </si>
  <si>
    <t>my.avast.com</t>
  </si>
  <si>
    <t>30042011qw</t>
  </si>
  <si>
    <t>eu.battle.net</t>
  </si>
  <si>
    <t>Qwased21</t>
  </si>
  <si>
    <t>sanip41270@reqaxv.com</t>
  </si>
  <si>
    <t>30042001Qw</t>
  </si>
  <si>
    <t>vinnikovaoksana3@gmail.com</t>
  </si>
  <si>
    <t>gfgfvfrcbv0808</t>
  </si>
  <si>
    <t>yowic73810@reqaxv.com</t>
  </si>
  <si>
    <t>my.beeline.ru</t>
  </si>
  <si>
    <t>uslugi.beeline.ru</t>
  </si>
  <si>
    <t>mail.bistrodengi.ru</t>
  </si>
  <si>
    <t>aivinnikova</t>
  </si>
  <si>
    <t>O20082015o</t>
  </si>
  <si>
    <t>avinnikova1</t>
  </si>
  <si>
    <t>portal.bistrodengi.ru</t>
  </si>
  <si>
    <t>d3Ai9733ca9</t>
  </si>
  <si>
    <t>app.box.com</t>
  </si>
  <si>
    <t>IsMxPolyotPassword@57</t>
  </si>
  <si>
    <t>Mixer58</t>
  </si>
  <si>
    <t>certpanel.com</t>
  </si>
  <si>
    <t>26BR8edajc@</t>
  </si>
  <si>
    <t>login.certum.pl</t>
  </si>
  <si>
    <t>Mixer57@gmail.com</t>
  </si>
  <si>
    <t>22tkdf8XX^</t>
  </si>
  <si>
    <t>sklep.certum.pl</t>
  </si>
  <si>
    <t>cheetos.ru</t>
  </si>
  <si>
    <t>cloudsso.cisco.com</t>
  </si>
  <si>
    <t>26BR8edajc</t>
  </si>
  <si>
    <t>identity.cisco.com</t>
  </si>
  <si>
    <t>IsMxCoinbasePassword@57</t>
  </si>
  <si>
    <t>IsMxCoinmamaPassword@57</t>
  </si>
  <si>
    <t>computta.com</t>
  </si>
  <si>
    <t>IsMxComputtaPassword@57</t>
  </si>
  <si>
    <t>omsk.dellin.ru</t>
  </si>
  <si>
    <t>dle-news.ru</t>
  </si>
  <si>
    <t>7zvMCQSFbV</t>
  </si>
  <si>
    <t>dnevnik.ru</t>
  </si>
  <si>
    <t>anastasiya53535</t>
  </si>
  <si>
    <t>login.dnevnik.ru</t>
  </si>
  <si>
    <t>Vinnikova_oksana</t>
  </si>
  <si>
    <t>11111111q</t>
  </si>
  <si>
    <t>lk.domru.ru</t>
  </si>
  <si>
    <t>omsk.domru.ru</t>
  </si>
  <si>
    <t>Ашдшы2194</t>
  </si>
  <si>
    <t>omsk.e2e4online.ru</t>
  </si>
  <si>
    <t>emex.ru</t>
  </si>
  <si>
    <t>autopay.ertelecom.ru</t>
  </si>
  <si>
    <t>eternal.ms</t>
  </si>
  <si>
    <t>26Ик8увфОС</t>
  </si>
  <si>
    <t>filmix.co</t>
  </si>
  <si>
    <t>Qwerty123</t>
  </si>
  <si>
    <t>billing.firstbyte.ru</t>
  </si>
  <si>
    <t>IsNewFirstBytePassword@57</t>
  </si>
  <si>
    <t>kvm.firstbyte.ru</t>
  </si>
  <si>
    <t>eHNLfwdMPSoJ</t>
  </si>
  <si>
    <t>neuesohle@protonmail.com</t>
  </si>
  <si>
    <t>2Ff3q7444kgbb3c</t>
  </si>
  <si>
    <t>forummaxi.ru</t>
  </si>
  <si>
    <t>IsNewForumMaxiPassword@28</t>
  </si>
  <si>
    <t>Mixer57x2</t>
  </si>
  <si>
    <t>mixer57.noip.me</t>
  </si>
  <si>
    <t>beta.games55.ru</t>
  </si>
  <si>
    <t>fedoseev55</t>
  </si>
  <si>
    <t>W7rE28aFCzLBsfGE</t>
  </si>
  <si>
    <t>forest</t>
  </si>
  <si>
    <t>2bq248x73w</t>
  </si>
  <si>
    <t>anw4s3ddwz</t>
  </si>
  <si>
    <t>s22.games55.ru</t>
  </si>
  <si>
    <t>pureftpd</t>
  </si>
  <si>
    <t>P3MyTet2uZY7LY3Y</t>
  </si>
  <si>
    <t>github.com</t>
  </si>
  <si>
    <t>IsMxGitHubPassword@57</t>
  </si>
  <si>
    <t>signup.gmx.com</t>
  </si>
  <si>
    <t>xltools</t>
  </si>
  <si>
    <t>xltoolspass</t>
  </si>
  <si>
    <t>accounts.google.com</t>
  </si>
  <si>
    <t>IrinaGrig1107</t>
  </si>
  <si>
    <t>IrinaGrig11</t>
  </si>
  <si>
    <t>IsMxGooglePassword@57</t>
  </si>
  <si>
    <t>mail.google.com</t>
  </si>
  <si>
    <t>HTv5X2EZPiL6TQ5</t>
  </si>
  <si>
    <t>myaccount.google.com</t>
  </si>
  <si>
    <t>esia.gosuslugi.ru</t>
  </si>
  <si>
    <t>175-789-130 25</t>
  </si>
  <si>
    <t>Mixer57@fox</t>
  </si>
  <si>
    <t>hlmod.ru</t>
  </si>
  <si>
    <t>qw1234567890</t>
  </si>
  <si>
    <t>icons8.com</t>
  </si>
  <si>
    <t>icons8.ru</t>
  </si>
  <si>
    <t>icq.com</t>
  </si>
  <si>
    <t>infourok.ru</t>
  </si>
  <si>
    <t>mixer.57</t>
  </si>
  <si>
    <t>geo.ipify.org</t>
  </si>
  <si>
    <t>26ик8увфос</t>
  </si>
  <si>
    <t>demo.iredmail.org</t>
  </si>
  <si>
    <t>postmaster@example.com</t>
  </si>
  <si>
    <t>iredmail</t>
  </si>
  <si>
    <t>omsk.job.ru</t>
  </si>
  <si>
    <t>08081991qw</t>
  </si>
  <si>
    <t>Mixer57@Ro.ru</t>
  </si>
  <si>
    <t>konti-kino.ru</t>
  </si>
  <si>
    <t>login.live.com</t>
  </si>
  <si>
    <t>IsNewSkypePassword@32</t>
  </si>
  <si>
    <t>mixer57@live.ru</t>
  </si>
  <si>
    <t>IsNewSkypePassword@40</t>
  </si>
  <si>
    <t>xltools365@gmail.com</t>
  </si>
  <si>
    <t>fdnjhtdthc4WP</t>
  </si>
  <si>
    <t>localhost</t>
  </si>
  <si>
    <t>mail.ru</t>
  </si>
  <si>
    <t>natmaru</t>
  </si>
  <si>
    <t>010541vfvf</t>
  </si>
  <si>
    <t>account.mail.ru</t>
  </si>
  <si>
    <t>e.mail.ru</t>
  </si>
  <si>
    <t>my.mail.ru</t>
  </si>
  <si>
    <t>m.mastermail.ru</t>
  </si>
  <si>
    <t>administrator@polyot.su</t>
  </si>
  <si>
    <t>x0zdB6HH1Z</t>
  </si>
  <si>
    <t>mega.nz</t>
  </si>
  <si>
    <t>IsNewMegaPassword@33</t>
  </si>
  <si>
    <t>passwordreset.microsoftonline.com</t>
  </si>
  <si>
    <t>maksim.vinnikov@waveacces.global</t>
  </si>
  <si>
    <t>SvrUser</t>
  </si>
  <si>
    <t>omsk.mlsn.ru</t>
  </si>
  <si>
    <t>mmo-dev.info</t>
  </si>
  <si>
    <t>mmo-develop.ru</t>
  </si>
  <si>
    <t>maximus57</t>
  </si>
  <si>
    <t>FDLYUT8P73Q7wWx</t>
  </si>
  <si>
    <t>mmore.club</t>
  </si>
  <si>
    <t>denexa5538@clsn.top</t>
  </si>
  <si>
    <t>koneva14k2</t>
  </si>
  <si>
    <t>avto505074</t>
  </si>
  <si>
    <t>IsNewMoedeloPassword@32</t>
  </si>
  <si>
    <t>sbir.my1.ru</t>
  </si>
  <si>
    <t>service.nalog.ru</t>
  </si>
  <si>
    <t>Filis2194@gmail.com</t>
  </si>
  <si>
    <t>6kRvteanXagXEzi</t>
  </si>
  <si>
    <t>account.ncsoft.com</t>
  </si>
  <si>
    <t>IsMxNcPass@57</t>
  </si>
  <si>
    <t>nick-name.ru</t>
  </si>
  <si>
    <t>nnm-club.ru</t>
  </si>
  <si>
    <t>Mixer57@rambler.ru</t>
  </si>
  <si>
    <t>mail.oat.local</t>
  </si>
  <si>
    <t>Vinnikova</t>
  </si>
  <si>
    <t>do.oat.ru</t>
  </si>
  <si>
    <t>Vinnikova_O_V</t>
  </si>
  <si>
    <t>vinnikova_o_v</t>
  </si>
  <si>
    <t>mail.oat.ru</t>
  </si>
  <si>
    <t>26191330qw</t>
  </si>
  <si>
    <t>tomilova26061971</t>
  </si>
  <si>
    <t>ok.ru</t>
  </si>
  <si>
    <t>301308qw</t>
  </si>
  <si>
    <t>5545801qw</t>
  </si>
  <si>
    <t>lk.omskrts.ru</t>
  </si>
  <si>
    <t>abon.omskvodokanal.ru</t>
  </si>
  <si>
    <t>MaxVictens</t>
  </si>
  <si>
    <t>profile.oracle.com</t>
  </si>
  <si>
    <t>IsMxPayPalPassword@</t>
  </si>
  <si>
    <t>pentacraft.ru</t>
  </si>
  <si>
    <t>Mixer5</t>
  </si>
  <si>
    <t>passport.pochta.ru</t>
  </si>
  <si>
    <t>polyot.su</t>
  </si>
  <si>
    <t>popolyot</t>
  </si>
  <si>
    <t>id.pr-cy.ru</t>
  </si>
  <si>
    <t>Fox2194</t>
  </si>
  <si>
    <t>qiwi.com</t>
  </si>
  <si>
    <t>IsNewQiwiPassword@57</t>
  </si>
  <si>
    <t>rSaL3.Dot</t>
  </si>
  <si>
    <t>26BR8edaJC</t>
  </si>
  <si>
    <t>mixer57@rambler.ru</t>
  </si>
  <si>
    <t>IsNewRamblerPassword@31</t>
  </si>
  <si>
    <t>id.rambler.ru</t>
  </si>
  <si>
    <t>mail.rambler.ru</t>
  </si>
  <si>
    <t>mail-pda.rambler.ru</t>
  </si>
  <si>
    <t>rawr.pro</t>
  </si>
  <si>
    <t>IsMxRawrPassword@57</t>
  </si>
  <si>
    <t>omsk-polet-rf</t>
  </si>
  <si>
    <t>2=u3${U/0(UfEhpPy1</t>
  </si>
  <si>
    <t>revo.ru</t>
  </si>
  <si>
    <t>+7 (913) 603-14-73</t>
  </si>
  <si>
    <t>riouxsvn.com</t>
  </si>
  <si>
    <t>b2c.passport.rt.ru</t>
  </si>
  <si>
    <t>IsMxRtPassword@57</t>
  </si>
  <si>
    <t>rutracker.org</t>
  </si>
  <si>
    <t>RuTracker@28</t>
  </si>
  <si>
    <t>dl.rutracker.org</t>
  </si>
  <si>
    <t>login.rutracker.org</t>
  </si>
  <si>
    <t>rzd-bonus.ru</t>
  </si>
  <si>
    <t>pass.rzd.ru</t>
  </si>
  <si>
    <t>r6.VZw-5</t>
  </si>
  <si>
    <t>mixer57.sandbox.sitefinity.com</t>
  </si>
  <si>
    <t>ZEoL_X1H</t>
  </si>
  <si>
    <t>skripter.org</t>
  </si>
  <si>
    <t>steamcommunity.com</t>
  </si>
  <si>
    <t>Nomadss</t>
  </si>
  <si>
    <t>IsNewSteamPassword@32</t>
  </si>
  <si>
    <t>support.steampowered.com</t>
  </si>
  <si>
    <t>NomadSS</t>
  </si>
  <si>
    <t>sushi-terra.ru</t>
  </si>
  <si>
    <t>login.teamviewer.com</t>
  </si>
  <si>
    <t>identity.telerik.com</t>
  </si>
  <si>
    <t>cp.theabyss.ru</t>
  </si>
  <si>
    <t>tiu.ru</t>
  </si>
  <si>
    <t>Fox219@gmail.com</t>
  </si>
  <si>
    <t>tlauncher.org</t>
  </si>
  <si>
    <t>1234567890p</t>
  </si>
  <si>
    <t>himava4550@ximtyl.com</t>
  </si>
  <si>
    <t>qwe1234567890p</t>
  </si>
  <si>
    <t>toggl.com</t>
  </si>
  <si>
    <t>IsMxTogglPassword@57</t>
  </si>
  <si>
    <t>tophope.ru</t>
  </si>
  <si>
    <t>Qwased2194</t>
  </si>
  <si>
    <t>twitter.com</t>
  </si>
  <si>
    <t>connect.ubisoft.com</t>
  </si>
  <si>
    <t>IsNewUplayPas@57</t>
  </si>
  <si>
    <t>IsNewUbisoftPassword@31</t>
  </si>
  <si>
    <t>lofat40459@johnderasia.com</t>
  </si>
  <si>
    <t>nM2c+uDkupAWq$e</t>
  </si>
  <si>
    <t>visa.vfsglobal.com</t>
  </si>
  <si>
    <t>$cWic%k#297jb8f</t>
  </si>
  <si>
    <t>IsMxVirusTotalPassword@57</t>
  </si>
  <si>
    <t>vk.com</t>
  </si>
  <si>
    <t>IsNewVkPassword@34</t>
  </si>
  <si>
    <t>connect.vk.com</t>
  </si>
  <si>
    <t>oauth.vk.com</t>
  </si>
  <si>
    <t>IsNewVkPassword@57</t>
  </si>
  <si>
    <t>Mixer5u@gmail.com</t>
  </si>
  <si>
    <t>IsNewVpn99Password</t>
  </si>
  <si>
    <t>vpn99.net</t>
  </si>
  <si>
    <t>vso-toggl.azurewebsites.net</t>
  </si>
  <si>
    <t>Toggl ID</t>
  </si>
  <si>
    <t>df6e6752c532bfe955d8472a3d7a8e31</t>
  </si>
  <si>
    <t>pm.wavea.cc</t>
  </si>
  <si>
    <t>waveaccess\Maksim.Vinnikov</t>
  </si>
  <si>
    <t>mail.waveaccess.ru</t>
  </si>
  <si>
    <t>VGftyh78Bnhg</t>
  </si>
  <si>
    <t>my.webmoney.ru</t>
  </si>
  <si>
    <t>security.webmoney.ru</t>
  </si>
  <si>
    <t>Y4~kATuc63r\Vzp9</t>
  </si>
  <si>
    <t>account.activedirectory.windowsazure.com</t>
  </si>
  <si>
    <t>login.wmtransfer.com</t>
  </si>
  <si>
    <t>ШыТуцЦуиЬщтунЗфыыцщкв"57</t>
  </si>
  <si>
    <t>worldskillsacademy.ru</t>
  </si>
  <si>
    <t>account.xiaomi.com</t>
  </si>
  <si>
    <t>q1234567890P</t>
  </si>
  <si>
    <t>passport.yandex.com</t>
  </si>
  <si>
    <t>maxvicxltools</t>
  </si>
  <si>
    <t>IsMxYandexPassword@57</t>
  </si>
  <si>
    <t>mixer57-ru</t>
  </si>
  <si>
    <t>disk.yandex.ru</t>
  </si>
  <si>
    <t>Mixer57.ru</t>
  </si>
  <si>
    <t>xDrdgx2451bKPynLy5uF</t>
  </si>
  <si>
    <t>mixer57.ru</t>
  </si>
  <si>
    <t>mail.yandex.ru</t>
  </si>
  <si>
    <t>o305</t>
  </si>
  <si>
    <t>v751W6992C</t>
  </si>
  <si>
    <t>passport.yandex.ru</t>
  </si>
  <si>
    <t>pdd.yandex.ru</t>
  </si>
  <si>
    <t>zhyk.ru</t>
  </si>
  <si>
    <t>hevine1986</t>
  </si>
  <si>
    <t>UgX3waRMsTfymeT</t>
  </si>
  <si>
    <t>1068331143</t>
  </si>
  <si>
    <t>57262686</t>
  </si>
  <si>
    <t>9681043948</t>
  </si>
  <si>
    <t>+79994542536</t>
  </si>
  <si>
    <t>588886868</t>
  </si>
  <si>
    <t>79994542536</t>
  </si>
  <si>
    <t>89040793218</t>
  </si>
  <si>
    <t>89081165918</t>
  </si>
  <si>
    <t>9002259171897</t>
  </si>
  <si>
    <t>9002522763983</t>
  </si>
  <si>
    <t>167961556</t>
  </si>
  <si>
    <t>1695339933</t>
  </si>
  <si>
    <t>4720008835</t>
  </si>
  <si>
    <t>577784</t>
  </si>
  <si>
    <t>123654789</t>
  </si>
  <si>
    <t>89048914047</t>
  </si>
  <si>
    <t>57778400</t>
  </si>
  <si>
    <t>531441</t>
  </si>
  <si>
    <t>22740</t>
  </si>
  <si>
    <t>962556</t>
  </si>
  <si>
    <t>30042011</t>
  </si>
  <si>
    <t>4913</t>
  </si>
  <si>
    <t>123456</t>
  </si>
  <si>
    <t>14 дней</t>
  </si>
  <si>
    <t>IsNew{App}Pass[word]@{Sec}$[{lng}]</t>
  </si>
  <si>
    <t>App - приложение</t>
  </si>
  <si>
    <t>Sec - число  Abs(57-YY-App.Length)</t>
  </si>
  <si>
    <t>--------------------------------------------</t>
  </si>
  <si>
    <t>-----------------------------------</t>
  </si>
  <si>
    <t>---------------------------------------------------------------</t>
  </si>
  <si>
    <t>Source</t>
  </si>
  <si>
    <t>Login</t>
  </si>
  <si>
    <t>Password</t>
  </si>
  <si>
    <t>user</t>
  </si>
  <si>
    <t>aeroflot.ru</t>
  </si>
  <si>
    <t>audiopoisk.com</t>
  </si>
  <si>
    <t>avito.ru</t>
  </si>
  <si>
    <t>avon.ru</t>
  </si>
  <si>
    <t>blockscape.com</t>
  </si>
  <si>
    <t>bsfg.ru</t>
  </si>
  <si>
    <t>codeproject.com</t>
  </si>
  <si>
    <t>coinbase.com</t>
  </si>
  <si>
    <t>coinmama.com</t>
  </si>
  <si>
    <t>dropbox.com</t>
  </si>
  <si>
    <t>facebook.com</t>
  </si>
  <si>
    <t>fl.ru</t>
  </si>
  <si>
    <t>florist.ru</t>
  </si>
  <si>
    <t>gametracker.com</t>
  </si>
  <si>
    <t>heidisql.com</t>
  </si>
  <si>
    <t>hlsw.org</t>
  </si>
  <si>
    <t>instagram.com</t>
  </si>
  <si>
    <t>koronemix</t>
  </si>
  <si>
    <t>mQ7vD8gI4cU6fP6kQ5nF</t>
  </si>
  <si>
    <t>kickstarter.com</t>
  </si>
  <si>
    <t>logaster.com</t>
  </si>
  <si>
    <t>IsNewMegaPassword@33XVm3UfKjmCHxwTKnqnKksw</t>
  </si>
  <si>
    <t>moedelo.org</t>
  </si>
  <si>
    <t>8g=@PMD?$z~8qe9M| +79994542536 | 888679919183 | 888679919183@wmid.com</t>
  </si>
  <si>
    <t>myteamspeak.com</t>
  </si>
  <si>
    <t>noip.com</t>
  </si>
  <si>
    <t>IsNewNoIpPassword@32</t>
  </si>
  <si>
    <t>odnoklassniki.ru</t>
  </si>
  <si>
    <t>paypal.com</t>
  </si>
  <si>
    <t>raidcall.com.ru</t>
  </si>
  <si>
    <t>rambler.ru</t>
  </si>
  <si>
    <t>reg.ru</t>
  </si>
  <si>
    <t>rus.windscribe.com</t>
  </si>
  <si>
    <t>IsNewWindscribePassword@57</t>
  </si>
  <si>
    <t>rzd.ru</t>
  </si>
  <si>
    <t>strongholdkingdoms.com</t>
  </si>
  <si>
    <t>survival-minecraft.ru</t>
  </si>
  <si>
    <t>tinkoff.ru</t>
  </si>
  <si>
    <t>twitch.tv</t>
  </si>
  <si>
    <t>unrealengine.com</t>
  </si>
  <si>
    <t>vfsvisaservicesrussia.com</t>
  </si>
  <si>
    <t>virustotal.com</t>
  </si>
  <si>
    <t>xmeye.net</t>
  </si>
  <si>
    <t>zoho.com</t>
  </si>
  <si>
    <t>kinopoisk.ru</t>
  </si>
  <si>
    <t>sasha-cybus</t>
  </si>
  <si>
    <t>ZSAZSAZSAbybj7uk3bjg9zsa</t>
  </si>
  <si>
    <t xml:space="preserve"> Нужно бы ввести пароль :)</t>
  </si>
  <si>
    <t>IsNewSberbankPassword@57</t>
  </si>
  <si>
    <t>MaxVinnikov57</t>
  </si>
  <si>
    <t>Sberbank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</si>
</sst>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14" x14ac:knownFonts="1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b/>
      <sz val="8"/>
      <color theme="1"/>
      <name val="Courier New"/>
      <family val="3"/>
      <charset val="204"/>
    </font>
    <font>
      <b/>
      <i/>
      <sz val="8"/>
      <color theme="0" tint="-0.34998626667073579"/>
      <name val="Courier New"/>
      <family val="3"/>
      <charset val="204"/>
    </font>
    <font>
      <sz val="8"/>
      <color theme="1"/>
      <name val="Courier New"/>
      <family val="3"/>
      <charset val="204"/>
    </font>
    <font>
      <i/>
      <sz val="8"/>
      <color theme="0" tint="-0.34998626667073579"/>
      <name val="Courier New"/>
      <family val="3"/>
      <charset val="204"/>
    </font>
    <font>
      <b/>
      <sz val="8"/>
      <color rgb="FF006100"/>
      <name val="Courier New"/>
      <family val="3"/>
      <charset val="204"/>
    </font>
    <font>
      <b/>
      <i/>
      <sz val="8"/>
      <color rgb="FFC00000"/>
      <name val="Courier New"/>
      <family val="3"/>
      <charset val="204"/>
    </font>
    <font>
      <b/>
      <sz val="8"/>
      <color rgb="FFC00000"/>
      <name val="Courier New"/>
      <family val="3"/>
      <charset val="204"/>
    </font>
    <font>
      <sz val="9"/>
      <color indexed="81"/>
      <name val="Tahoma"/>
      <charset val="1"/>
    </font>
    <font>
      <b/>
      <sz val="9"/>
      <color indexed="81"/>
      <name val="Tahoma"/>
      <family val="2"/>
      <charset val="204"/>
    </font>
    <font>
      <sz val="11"/>
      <color theme="1"/>
      <name val="Consolas"/>
      <family val="3"/>
      <charset val="204"/>
    </font>
    <font>
      <sz val="9"/>
      <color indexed="81"/>
      <name val="Tahoma"/>
      <family val="2"/>
      <charset val="204"/>
    </font>
    <font>
      <sz val="2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1">
    <xf numFmtId="0" fontId="0" fillId="0" borderId="0" xfId="0"/>
    <xf numFmtId="0" fontId="2" fillId="0" borderId="0" xfId="0" applyFont="1" applyBorder="1"/>
    <xf numFmtId="0" fontId="4" fillId="0" borderId="0" xfId="0" applyFont="1" applyBorder="1"/>
    <xf numFmtId="164" fontId="4" fillId="0" borderId="0" xfId="0" applyNumberFormat="1" applyFont="1" applyBorder="1"/>
    <xf numFmtId="164" fontId="5" fillId="0" borderId="0" xfId="0" applyNumberFormat="1" applyFont="1" applyBorder="1"/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0" fontId="4" fillId="0" borderId="5" xfId="0" applyFont="1" applyBorder="1"/>
    <xf numFmtId="164" fontId="4" fillId="0" borderId="5" xfId="0" applyNumberFormat="1" applyFont="1" applyBorder="1"/>
    <xf numFmtId="164" fontId="4" fillId="0" borderId="6" xfId="0" applyNumberFormat="1" applyFont="1" applyBorder="1"/>
    <xf numFmtId="164" fontId="4" fillId="0" borderId="8" xfId="0" applyNumberFormat="1" applyFont="1" applyBorder="1"/>
    <xf numFmtId="0" fontId="2" fillId="0" borderId="2" xfId="0" applyFont="1" applyBorder="1"/>
    <xf numFmtId="164" fontId="6" fillId="2" borderId="2" xfId="1" applyNumberFormat="1" applyFont="1" applyBorder="1"/>
    <xf numFmtId="164" fontId="2" fillId="0" borderId="4" xfId="0" applyNumberFormat="1" applyFon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4" fillId="0" borderId="4" xfId="0" applyNumberFormat="1" applyFont="1" applyBorder="1"/>
    <xf numFmtId="164" fontId="5" fillId="0" borderId="6" xfId="0" applyNumberFormat="1" applyFont="1" applyBorder="1"/>
    <xf numFmtId="164" fontId="4" fillId="0" borderId="7" xfId="0" applyNumberFormat="1" applyFont="1" applyBorder="1"/>
    <xf numFmtId="164" fontId="5" fillId="0" borderId="8" xfId="0" applyNumberFormat="1" applyFont="1" applyBorder="1"/>
    <xf numFmtId="164" fontId="6" fillId="2" borderId="9" xfId="1" applyNumberFormat="1" applyFont="1" applyBorder="1"/>
    <xf numFmtId="164" fontId="2" fillId="0" borderId="1" xfId="0" applyNumberFormat="1" applyFont="1" applyBorder="1" applyAlignment="1">
      <alignment horizontal="center" vertical="center"/>
    </xf>
    <xf numFmtId="164" fontId="7" fillId="2" borderId="10" xfId="1" applyNumberFormat="1" applyFont="1" applyBorder="1"/>
    <xf numFmtId="164" fontId="8" fillId="0" borderId="10" xfId="0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49" fontId="11" fillId="0" borderId="0" xfId="0" applyNumberFormat="1" applyFont="1"/>
    <xf numFmtId="0" fontId="11" fillId="0" borderId="0" xfId="0" applyFont="1"/>
    <xf numFmtId="0" fontId="13" fillId="0" borderId="11" xfId="0" applyNumberFormat="1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2">
    <cellStyle name="Обычный" xfId="0" builtinId="0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21C1B-BE7C-4385-A760-B332E2AA59CD}">
  <sheetPr codeName="Лист3"/>
  <dimension ref="A1:K17"/>
  <sheetViews>
    <sheetView tabSelected="1" workbookViewId="0">
      <selection sqref="A1:K17"/>
    </sheetView>
  </sheetViews>
  <sheetFormatPr defaultRowHeight="14.5" x14ac:dyDescent="0.35"/>
  <cols>
    <col min="1" max="1" width="8.7265625" customWidth="1"/>
  </cols>
  <sheetData>
    <row r="1" spans="1:11" x14ac:dyDescent="0.35">
      <c r="A1" s="29" t="s">
        <v>428</v>
      </c>
      <c r="B1" s="30"/>
      <c r="C1" s="30"/>
      <c r="D1" s="30"/>
      <c r="E1" s="30"/>
      <c r="F1" s="30"/>
      <c r="G1" s="30"/>
      <c r="H1" s="30"/>
      <c r="I1" s="30"/>
      <c r="J1" s="30"/>
      <c r="K1" s="31"/>
    </row>
    <row r="2" spans="1:11" x14ac:dyDescent="0.35">
      <c r="A2" s="32"/>
      <c r="B2" s="33"/>
      <c r="C2" s="33"/>
      <c r="D2" s="33"/>
      <c r="E2" s="33"/>
      <c r="F2" s="33"/>
      <c r="G2" s="33"/>
      <c r="H2" s="33"/>
      <c r="I2" s="33"/>
      <c r="J2" s="33"/>
      <c r="K2" s="34"/>
    </row>
    <row r="3" spans="1:11" x14ac:dyDescent="0.35">
      <c r="A3" s="32"/>
      <c r="B3" s="33"/>
      <c r="C3" s="33"/>
      <c r="D3" s="33"/>
      <c r="E3" s="33"/>
      <c r="F3" s="33"/>
      <c r="G3" s="33"/>
      <c r="H3" s="33"/>
      <c r="I3" s="33"/>
      <c r="J3" s="33"/>
      <c r="K3" s="34"/>
    </row>
    <row r="4" spans="1:11" x14ac:dyDescent="0.35">
      <c r="A4" s="32"/>
      <c r="B4" s="33"/>
      <c r="C4" s="33"/>
      <c r="D4" s="33"/>
      <c r="E4" s="33"/>
      <c r="F4" s="33"/>
      <c r="G4" s="33"/>
      <c r="H4" s="33"/>
      <c r="I4" s="33"/>
      <c r="J4" s="33"/>
      <c r="K4" s="34"/>
    </row>
    <row r="5" spans="1:11" x14ac:dyDescent="0.35">
      <c r="A5" s="32"/>
      <c r="B5" s="33"/>
      <c r="C5" s="33"/>
      <c r="D5" s="33"/>
      <c r="E5" s="33"/>
      <c r="F5" s="33"/>
      <c r="G5" s="33"/>
      <c r="H5" s="33"/>
      <c r="I5" s="33"/>
      <c r="J5" s="33"/>
      <c r="K5" s="34"/>
    </row>
    <row r="6" spans="1:11" x14ac:dyDescent="0.35">
      <c r="A6" s="32"/>
      <c r="B6" s="33"/>
      <c r="C6" s="33"/>
      <c r="D6" s="33"/>
      <c r="E6" s="33"/>
      <c r="F6" s="33"/>
      <c r="G6" s="33"/>
      <c r="H6" s="33"/>
      <c r="I6" s="33"/>
      <c r="J6" s="33"/>
      <c r="K6" s="34"/>
    </row>
    <row r="7" spans="1:11" x14ac:dyDescent="0.35">
      <c r="A7" s="32"/>
      <c r="B7" s="33"/>
      <c r="C7" s="33"/>
      <c r="D7" s="33"/>
      <c r="E7" s="33"/>
      <c r="F7" s="33"/>
      <c r="G7" s="33"/>
      <c r="H7" s="33"/>
      <c r="I7" s="33"/>
      <c r="J7" s="33"/>
      <c r="K7" s="34"/>
    </row>
    <row r="8" spans="1:11" x14ac:dyDescent="0.35">
      <c r="A8" s="32"/>
      <c r="B8" s="33"/>
      <c r="C8" s="33"/>
      <c r="D8" s="33"/>
      <c r="E8" s="33"/>
      <c r="F8" s="33"/>
      <c r="G8" s="33"/>
      <c r="H8" s="33"/>
      <c r="I8" s="33"/>
      <c r="J8" s="33"/>
      <c r="K8" s="34"/>
    </row>
    <row r="9" spans="1:11" x14ac:dyDescent="0.35">
      <c r="A9" s="32"/>
      <c r="B9" s="33"/>
      <c r="C9" s="33"/>
      <c r="D9" s="33"/>
      <c r="E9" s="33"/>
      <c r="F9" s="33"/>
      <c r="G9" s="33"/>
      <c r="H9" s="33"/>
      <c r="I9" s="33"/>
      <c r="J9" s="33"/>
      <c r="K9" s="34"/>
    </row>
    <row r="10" spans="1:11" x14ac:dyDescent="0.35">
      <c r="A10" s="32"/>
      <c r="B10" s="33"/>
      <c r="C10" s="33"/>
      <c r="D10" s="33"/>
      <c r="E10" s="33"/>
      <c r="F10" s="33"/>
      <c r="G10" s="33"/>
      <c r="H10" s="33"/>
      <c r="I10" s="33"/>
      <c r="J10" s="33"/>
      <c r="K10" s="34"/>
    </row>
    <row r="11" spans="1:11" x14ac:dyDescent="0.35">
      <c r="A11" s="32"/>
      <c r="B11" s="33"/>
      <c r="C11" s="33"/>
      <c r="D11" s="33"/>
      <c r="E11" s="33"/>
      <c r="F11" s="33"/>
      <c r="G11" s="33"/>
      <c r="H11" s="33"/>
      <c r="I11" s="33"/>
      <c r="J11" s="33"/>
      <c r="K11" s="34"/>
    </row>
    <row r="12" spans="1:11" x14ac:dyDescent="0.35">
      <c r="A12" s="32"/>
      <c r="B12" s="33"/>
      <c r="C12" s="33"/>
      <c r="D12" s="33"/>
      <c r="E12" s="33"/>
      <c r="F12" s="33"/>
      <c r="G12" s="33"/>
      <c r="H12" s="33"/>
      <c r="I12" s="33"/>
      <c r="J12" s="33"/>
      <c r="K12" s="34"/>
    </row>
    <row r="13" spans="1:11" x14ac:dyDescent="0.35">
      <c r="A13" s="32"/>
      <c r="B13" s="33"/>
      <c r="C13" s="33"/>
      <c r="D13" s="33"/>
      <c r="E13" s="33"/>
      <c r="F13" s="33"/>
      <c r="G13" s="33"/>
      <c r="H13" s="33"/>
      <c r="I13" s="33"/>
      <c r="J13" s="33"/>
      <c r="K13" s="34"/>
    </row>
    <row r="14" spans="1:11" x14ac:dyDescent="0.35">
      <c r="A14" s="32"/>
      <c r="B14" s="33"/>
      <c r="C14" s="33"/>
      <c r="D14" s="33"/>
      <c r="E14" s="33"/>
      <c r="F14" s="33"/>
      <c r="G14" s="33"/>
      <c r="H14" s="33"/>
      <c r="I14" s="33"/>
      <c r="J14" s="33"/>
      <c r="K14" s="34"/>
    </row>
    <row r="15" spans="1:11" x14ac:dyDescent="0.35">
      <c r="A15" s="32"/>
      <c r="B15" s="33"/>
      <c r="C15" s="33"/>
      <c r="D15" s="33"/>
      <c r="E15" s="33"/>
      <c r="F15" s="33"/>
      <c r="G15" s="33"/>
      <c r="H15" s="33"/>
      <c r="I15" s="33"/>
      <c r="J15" s="33"/>
      <c r="K15" s="34"/>
    </row>
    <row r="16" spans="1:11" x14ac:dyDescent="0.35">
      <c r="A16" s="32"/>
      <c r="B16" s="33"/>
      <c r="C16" s="33"/>
      <c r="D16" s="33"/>
      <c r="E16" s="33"/>
      <c r="F16" s="33"/>
      <c r="G16" s="33"/>
      <c r="H16" s="33"/>
      <c r="I16" s="33"/>
      <c r="J16" s="33"/>
      <c r="K16" s="34"/>
    </row>
    <row r="17" spans="1:11" x14ac:dyDescent="0.35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7"/>
    </row>
  </sheetData>
  <mergeCells count="1">
    <mergeCell ref="A1:K17"/>
  </mergeCells>
  <pageMargins left="0.7" right="0.7" top="0.75" bottom="0.75" header="0.3" footer="0.3"/>
  <pageSetup paperSize="9" orientation="portrait" r:id="rId1"/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D450-952F-4232-A420-346C7C184B2A}">
  <sheetPr codeName="Лист1"/>
  <dimension ref="A1:T27"/>
  <sheetViews>
    <sheetView topLeftCell="I1" zoomScale="110" zoomScaleNormal="110" workbookViewId="0">
      <selection activeCell="C37" sqref="C37"/>
    </sheetView>
  </sheetViews>
  <sheetFormatPr defaultColWidth="9.1796875" defaultRowHeight="11" x14ac:dyDescent="0.3"/>
  <cols>
    <col min="1" max="1" width="5" style="2" bestFit="1" customWidth="1"/>
    <col min="2" max="2" width="17.26953125" style="2" bestFit="1" customWidth="1"/>
    <col min="3" max="5" width="12" style="3" bestFit="1" customWidth="1"/>
    <col min="6" max="6" width="13.7265625" style="4" bestFit="1" customWidth="1"/>
    <col min="7" max="7" width="13.1796875" style="3" bestFit="1" customWidth="1"/>
    <col min="8" max="9" width="12" style="3" bestFit="1" customWidth="1"/>
    <col min="10" max="10" width="13.7265625" style="4" bestFit="1" customWidth="1"/>
    <col min="11" max="13" width="12" style="3" bestFit="1" customWidth="1"/>
    <col min="14" max="14" width="13.7265625" style="4" bestFit="1" customWidth="1"/>
    <col min="15" max="17" width="12" style="3" bestFit="1" customWidth="1"/>
    <col min="18" max="18" width="13.7265625" style="4" bestFit="1" customWidth="1"/>
    <col min="19" max="19" width="13.1796875" style="3" bestFit="1" customWidth="1"/>
    <col min="20" max="20" width="11.453125" style="25" customWidth="1"/>
    <col min="21" max="16384" width="9.1796875" style="2"/>
  </cols>
  <sheetData>
    <row r="1" spans="1:20" s="1" customFormat="1" ht="11.5" thickBot="1" x14ac:dyDescent="0.35">
      <c r="A1" s="6" t="s">
        <v>0</v>
      </c>
      <c r="B1" s="7"/>
      <c r="C1" s="15" t="s">
        <v>1</v>
      </c>
      <c r="D1" s="8" t="s">
        <v>2</v>
      </c>
      <c r="E1" s="8" t="s">
        <v>3</v>
      </c>
      <c r="F1" s="16"/>
      <c r="G1" s="15" t="s">
        <v>4</v>
      </c>
      <c r="H1" s="8" t="s">
        <v>5</v>
      </c>
      <c r="I1" s="8" t="s">
        <v>6</v>
      </c>
      <c r="J1" s="16"/>
      <c r="K1" s="15" t="s">
        <v>7</v>
      </c>
      <c r="L1" s="8" t="s">
        <v>8</v>
      </c>
      <c r="M1" s="8" t="s">
        <v>9</v>
      </c>
      <c r="N1" s="16"/>
      <c r="O1" s="15" t="s">
        <v>10</v>
      </c>
      <c r="P1" s="8" t="s">
        <v>11</v>
      </c>
      <c r="Q1" s="8" t="s">
        <v>12</v>
      </c>
      <c r="R1" s="16"/>
      <c r="S1" s="22"/>
      <c r="T1" s="5" t="s">
        <v>13</v>
      </c>
    </row>
    <row r="2" spans="1:20" x14ac:dyDescent="0.3">
      <c r="A2" s="38">
        <v>2019</v>
      </c>
      <c r="B2" s="9" t="s">
        <v>15</v>
      </c>
      <c r="C2" s="17">
        <v>35293.760000000002</v>
      </c>
      <c r="D2" s="10">
        <v>22499.95</v>
      </c>
      <c r="E2" s="10">
        <v>24999.5</v>
      </c>
      <c r="F2" s="18">
        <f t="shared" ref="F2:F10" si="0">SUM(C2:E2)</f>
        <v>82793.210000000006</v>
      </c>
      <c r="G2" s="17">
        <v>24999.5</v>
      </c>
      <c r="H2" s="10">
        <v>33333</v>
      </c>
      <c r="I2" s="10">
        <v>26315.89</v>
      </c>
      <c r="J2" s="18">
        <f>SUM(G2:I2)</f>
        <v>84648.39</v>
      </c>
      <c r="K2" s="17">
        <v>61792.92</v>
      </c>
      <c r="L2" s="10">
        <v>52497</v>
      </c>
      <c r="M2" s="10">
        <v>19546</v>
      </c>
      <c r="N2" s="18">
        <f>SUM(K2:M2)</f>
        <v>133835.91999999998</v>
      </c>
      <c r="O2" s="17">
        <v>26189.86</v>
      </c>
      <c r="P2" s="10">
        <v>26086.87</v>
      </c>
      <c r="Q2" s="10">
        <f>24999.5+33602.17+4900</f>
        <v>63501.67</v>
      </c>
      <c r="R2" s="18">
        <f>SUM(O2:Q2)</f>
        <v>115778.4</v>
      </c>
      <c r="S2" s="11">
        <f t="shared" ref="S2:S21" si="1">SUM(C2:E2,G2:I2,K2:M2,O2:Q2)</f>
        <v>417055.92</v>
      </c>
    </row>
    <row r="3" spans="1:20" x14ac:dyDescent="0.3">
      <c r="A3" s="39"/>
      <c r="B3" s="2" t="s">
        <v>16</v>
      </c>
      <c r="C3" s="19">
        <v>14706.24</v>
      </c>
      <c r="D3" s="3">
        <v>27500.05</v>
      </c>
      <c r="E3" s="3">
        <v>25000.5</v>
      </c>
      <c r="F3" s="20">
        <f t="shared" si="0"/>
        <v>67206.790000000008</v>
      </c>
      <c r="G3" s="19">
        <v>25000.5</v>
      </c>
      <c r="H3" s="3">
        <v>16667</v>
      </c>
      <c r="I3" s="3">
        <v>23684.11</v>
      </c>
      <c r="J3" s="20">
        <f t="shared" ref="J3:J12" si="2">SUM(G3:I3)</f>
        <v>65351.61</v>
      </c>
      <c r="K3" s="19">
        <f>8695.96+3310.47+1603.8+2100</f>
        <v>15710.229999999998</v>
      </c>
      <c r="L3" s="3">
        <v>20454.86</v>
      </c>
      <c r="M3" s="3">
        <v>23810.14</v>
      </c>
      <c r="N3" s="20">
        <f t="shared" ref="N3:N13" si="3">SUM(K3:M3)</f>
        <v>59975.229999999996</v>
      </c>
      <c r="O3" s="19">
        <v>23912.13</v>
      </c>
      <c r="P3" s="3">
        <v>25000.5</v>
      </c>
      <c r="Q3" s="3">
        <v>15909.23</v>
      </c>
      <c r="R3" s="20">
        <f t="shared" ref="R3:R13" si="4">SUM(O3:Q3)</f>
        <v>64821.86</v>
      </c>
      <c r="S3" s="12">
        <f t="shared" si="1"/>
        <v>257355.49000000008</v>
      </c>
    </row>
    <row r="4" spans="1:20" x14ac:dyDescent="0.3">
      <c r="A4" s="39"/>
      <c r="B4" s="2" t="s">
        <v>17</v>
      </c>
      <c r="C4" s="19">
        <v>10000</v>
      </c>
      <c r="D4" s="3">
        <v>20000</v>
      </c>
      <c r="E4" s="3">
        <v>20000</v>
      </c>
      <c r="F4" s="20">
        <f t="shared" si="0"/>
        <v>50000</v>
      </c>
      <c r="G4" s="19">
        <v>25000</v>
      </c>
      <c r="H4" s="3">
        <v>15000</v>
      </c>
      <c r="I4" s="3">
        <v>20000</v>
      </c>
      <c r="J4" s="20">
        <f t="shared" si="2"/>
        <v>60000</v>
      </c>
      <c r="K4" s="19">
        <v>15000</v>
      </c>
      <c r="L4" s="3">
        <v>24999.5</v>
      </c>
      <c r="N4" s="20">
        <f t="shared" si="3"/>
        <v>39999.5</v>
      </c>
      <c r="O4" s="19">
        <v>15000</v>
      </c>
      <c r="P4" s="3">
        <v>15001</v>
      </c>
      <c r="Q4" s="3">
        <v>15000</v>
      </c>
      <c r="R4" s="20">
        <f t="shared" si="4"/>
        <v>45001</v>
      </c>
      <c r="S4" s="12">
        <f t="shared" si="1"/>
        <v>195000.5</v>
      </c>
    </row>
    <row r="5" spans="1:20" s="1" customFormat="1" ht="11.5" thickBot="1" x14ac:dyDescent="0.35">
      <c r="A5" s="40"/>
      <c r="B5" s="13" t="s">
        <v>14</v>
      </c>
      <c r="C5" s="21">
        <f t="shared" ref="C5:P5" si="5">SUM(C2:C4)</f>
        <v>60000</v>
      </c>
      <c r="D5" s="14">
        <f t="shared" si="5"/>
        <v>70000</v>
      </c>
      <c r="E5" s="14">
        <f t="shared" si="5"/>
        <v>70000</v>
      </c>
      <c r="F5" s="23">
        <f t="shared" si="0"/>
        <v>200000</v>
      </c>
      <c r="G5" s="21">
        <f t="shared" si="5"/>
        <v>75000</v>
      </c>
      <c r="H5" s="14">
        <f t="shared" si="5"/>
        <v>65000</v>
      </c>
      <c r="I5" s="14">
        <f t="shared" si="5"/>
        <v>70000</v>
      </c>
      <c r="J5" s="23">
        <f t="shared" si="2"/>
        <v>210000</v>
      </c>
      <c r="K5" s="21">
        <f t="shared" si="5"/>
        <v>92503.15</v>
      </c>
      <c r="L5" s="14">
        <f t="shared" si="5"/>
        <v>97951.360000000001</v>
      </c>
      <c r="M5" s="14">
        <f t="shared" si="5"/>
        <v>43356.14</v>
      </c>
      <c r="N5" s="23">
        <f t="shared" si="3"/>
        <v>233810.65000000002</v>
      </c>
      <c r="O5" s="21">
        <f t="shared" si="5"/>
        <v>65101.990000000005</v>
      </c>
      <c r="P5" s="14">
        <f t="shared" si="5"/>
        <v>66088.37</v>
      </c>
      <c r="Q5" s="14">
        <f>SUM(Q2:Q4)</f>
        <v>94410.9</v>
      </c>
      <c r="R5" s="23">
        <f t="shared" si="4"/>
        <v>225601.25999999998</v>
      </c>
      <c r="S5" s="24">
        <f t="shared" si="1"/>
        <v>869411.91</v>
      </c>
      <c r="T5" s="26"/>
    </row>
    <row r="6" spans="1:20" x14ac:dyDescent="0.3">
      <c r="A6" s="38">
        <v>2020</v>
      </c>
      <c r="B6" s="9" t="s">
        <v>15</v>
      </c>
      <c r="C6" s="17">
        <v>35293.760000000002</v>
      </c>
      <c r="D6" s="10">
        <v>23684.11</v>
      </c>
      <c r="E6" s="10">
        <v>28571.57</v>
      </c>
      <c r="F6" s="18">
        <f t="shared" si="0"/>
        <v>87549.440000000002</v>
      </c>
      <c r="G6" s="17">
        <v>25000.5</v>
      </c>
      <c r="H6" s="10">
        <v>29411.47</v>
      </c>
      <c r="I6" s="10">
        <v>26190.86</v>
      </c>
      <c r="J6" s="18">
        <f t="shared" si="2"/>
        <v>80602.83</v>
      </c>
      <c r="K6" s="17">
        <v>27272.82</v>
      </c>
      <c r="L6" s="10">
        <v>26189.86</v>
      </c>
      <c r="M6" s="10">
        <v>24999.5</v>
      </c>
      <c r="N6" s="18">
        <f t="shared" si="3"/>
        <v>78462.179999999993</v>
      </c>
      <c r="O6" s="17"/>
      <c r="P6" s="10">
        <v>57727</v>
      </c>
      <c r="Q6" s="10">
        <f>27500.05+16295.74</f>
        <v>43795.79</v>
      </c>
      <c r="R6" s="18">
        <f t="shared" si="4"/>
        <v>101522.79000000001</v>
      </c>
      <c r="S6" s="11">
        <f t="shared" si="1"/>
        <v>348137.24</v>
      </c>
    </row>
    <row r="7" spans="1:20" x14ac:dyDescent="0.3">
      <c r="A7" s="39"/>
      <c r="B7" s="2" t="s">
        <v>16</v>
      </c>
      <c r="C7" s="19">
        <v>1725</v>
      </c>
      <c r="D7" s="3">
        <v>26315.89</v>
      </c>
      <c r="E7" s="3">
        <v>21428.43</v>
      </c>
      <c r="F7" s="20">
        <f t="shared" si="0"/>
        <v>49469.32</v>
      </c>
      <c r="G7" s="19">
        <v>24999.5</v>
      </c>
      <c r="H7" s="3">
        <v>20588.53</v>
      </c>
      <c r="I7" s="3">
        <v>23809.14</v>
      </c>
      <c r="J7" s="20">
        <f t="shared" si="2"/>
        <v>69397.17</v>
      </c>
      <c r="K7" s="19">
        <v>22727.18</v>
      </c>
      <c r="L7" s="3">
        <v>23809.14</v>
      </c>
      <c r="M7" s="3">
        <v>25001</v>
      </c>
      <c r="N7" s="20">
        <f t="shared" si="3"/>
        <v>71537.320000000007</v>
      </c>
      <c r="O7" s="19">
        <v>24999.5</v>
      </c>
      <c r="P7" s="3">
        <v>2273.3200000000002</v>
      </c>
      <c r="Q7" s="3">
        <v>8761</v>
      </c>
      <c r="R7" s="20">
        <f t="shared" si="4"/>
        <v>36033.82</v>
      </c>
      <c r="S7" s="12">
        <f t="shared" si="1"/>
        <v>226437.63</v>
      </c>
    </row>
    <row r="8" spans="1:20" x14ac:dyDescent="0.3">
      <c r="A8" s="39"/>
      <c r="B8" s="2" t="s">
        <v>17</v>
      </c>
      <c r="C8" s="19">
        <v>14706.24</v>
      </c>
      <c r="D8" s="3">
        <v>15000</v>
      </c>
      <c r="E8" s="3">
        <v>15000</v>
      </c>
      <c r="F8" s="20">
        <f t="shared" si="0"/>
        <v>44706.239999999998</v>
      </c>
      <c r="G8" s="19">
        <v>15000</v>
      </c>
      <c r="H8" s="3">
        <v>15000</v>
      </c>
      <c r="I8" s="3">
        <v>15000</v>
      </c>
      <c r="J8" s="20">
        <f t="shared" si="2"/>
        <v>45000</v>
      </c>
      <c r="K8" s="19">
        <v>15000</v>
      </c>
      <c r="L8" s="3">
        <v>15000</v>
      </c>
      <c r="M8" s="3">
        <v>24999.5</v>
      </c>
      <c r="N8" s="20">
        <f t="shared" si="3"/>
        <v>54999.5</v>
      </c>
      <c r="O8" s="19">
        <v>17892</v>
      </c>
      <c r="P8" s="3">
        <v>22499.95</v>
      </c>
      <c r="Q8" s="3">
        <v>14347.65</v>
      </c>
      <c r="R8" s="20">
        <f t="shared" si="4"/>
        <v>54739.6</v>
      </c>
      <c r="S8" s="12">
        <f t="shared" si="1"/>
        <v>199445.34</v>
      </c>
    </row>
    <row r="9" spans="1:20" s="1" customFormat="1" ht="11.5" thickBot="1" x14ac:dyDescent="0.35">
      <c r="A9" s="40"/>
      <c r="B9" s="13" t="s">
        <v>14</v>
      </c>
      <c r="C9" s="21">
        <f t="shared" ref="C9:O9" si="6">SUM(C6:C8)</f>
        <v>51725</v>
      </c>
      <c r="D9" s="14">
        <f t="shared" si="6"/>
        <v>65000</v>
      </c>
      <c r="E9" s="14">
        <f t="shared" si="6"/>
        <v>65000</v>
      </c>
      <c r="F9" s="23">
        <f t="shared" si="0"/>
        <v>181725</v>
      </c>
      <c r="G9" s="21">
        <f t="shared" si="6"/>
        <v>65000</v>
      </c>
      <c r="H9" s="14">
        <f t="shared" si="6"/>
        <v>65000</v>
      </c>
      <c r="I9" s="14">
        <f t="shared" si="6"/>
        <v>65000</v>
      </c>
      <c r="J9" s="23">
        <f t="shared" si="2"/>
        <v>195000</v>
      </c>
      <c r="K9" s="21">
        <f>SUM(K6:K8)</f>
        <v>65000</v>
      </c>
      <c r="L9" s="14">
        <f t="shared" si="6"/>
        <v>64999</v>
      </c>
      <c r="M9" s="14">
        <f t="shared" si="6"/>
        <v>75000</v>
      </c>
      <c r="N9" s="23">
        <f t="shared" si="3"/>
        <v>204999</v>
      </c>
      <c r="O9" s="21">
        <f t="shared" si="6"/>
        <v>42891.5</v>
      </c>
      <c r="P9" s="14">
        <f>SUM(P6:P8)</f>
        <v>82500.27</v>
      </c>
      <c r="Q9" s="14">
        <f>SUM(Q6:Q8)</f>
        <v>66904.44</v>
      </c>
      <c r="R9" s="23">
        <f t="shared" si="4"/>
        <v>192296.21000000002</v>
      </c>
      <c r="S9" s="24">
        <f t="shared" si="1"/>
        <v>774020.21</v>
      </c>
      <c r="T9" s="26"/>
    </row>
    <row r="10" spans="1:20" x14ac:dyDescent="0.3">
      <c r="A10" s="38">
        <v>2021</v>
      </c>
      <c r="B10" s="9" t="s">
        <v>15</v>
      </c>
      <c r="C10" s="17">
        <f>28695.31+186.97</f>
        <v>28882.280000000002</v>
      </c>
      <c r="D10" s="10">
        <v>36666.33</v>
      </c>
      <c r="E10" s="10">
        <v>23158.11</v>
      </c>
      <c r="F10" s="18">
        <f t="shared" si="0"/>
        <v>88706.72</v>
      </c>
      <c r="G10" s="17">
        <f>30000.55+17399.35</f>
        <v>47399.899999999994</v>
      </c>
      <c r="H10" s="10">
        <f>28523+1577</f>
        <v>30100</v>
      </c>
      <c r="I10" s="10">
        <v>31841.9</v>
      </c>
      <c r="J10" s="18">
        <f t="shared" si="2"/>
        <v>109341.79999999999</v>
      </c>
      <c r="K10" s="17">
        <v>28809.19</v>
      </c>
      <c r="L10" s="10">
        <v>27500</v>
      </c>
      <c r="M10" s="10">
        <v>30000.55</v>
      </c>
      <c r="N10" s="18">
        <f t="shared" si="3"/>
        <v>86309.74</v>
      </c>
      <c r="O10" s="17">
        <v>27499</v>
      </c>
      <c r="P10" s="10">
        <f>26189.81+34802.48</f>
        <v>60992.290000000008</v>
      </c>
      <c r="Q10" s="10"/>
      <c r="R10" s="18">
        <f>SUM(O10:Q10)</f>
        <v>88491.290000000008</v>
      </c>
      <c r="S10" s="11">
        <f t="shared" si="1"/>
        <v>372849.55000000005</v>
      </c>
      <c r="T10" s="25" t="s">
        <v>18</v>
      </c>
    </row>
    <row r="11" spans="1:20" x14ac:dyDescent="0.3">
      <c r="A11" s="39"/>
      <c r="B11" s="2" t="s">
        <v>16</v>
      </c>
      <c r="C11" s="19">
        <v>20474</v>
      </c>
      <c r="D11" s="3">
        <v>31841.89</v>
      </c>
      <c r="E11" s="3">
        <v>24999.45</v>
      </c>
      <c r="F11" s="20">
        <f>SUM(C11:E11)</f>
        <v>77315.34</v>
      </c>
      <c r="G11" s="19">
        <v>74524</v>
      </c>
      <c r="H11" s="3">
        <v>23157.11</v>
      </c>
      <c r="I11" s="3">
        <v>25001</v>
      </c>
      <c r="J11" s="20">
        <f t="shared" si="2"/>
        <v>122682.11</v>
      </c>
      <c r="K11" s="19">
        <v>35000</v>
      </c>
      <c r="L11" s="3">
        <v>35000</v>
      </c>
      <c r="M11" s="3">
        <v>35000</v>
      </c>
      <c r="N11" s="20">
        <f t="shared" si="3"/>
        <v>105000</v>
      </c>
      <c r="O11" s="19">
        <v>35001</v>
      </c>
      <c r="P11" s="3">
        <v>25000</v>
      </c>
      <c r="R11" s="20">
        <f t="shared" si="4"/>
        <v>60001</v>
      </c>
      <c r="S11" s="12">
        <f t="shared" si="1"/>
        <v>364998.45</v>
      </c>
      <c r="T11" s="25" t="s">
        <v>370</v>
      </c>
    </row>
    <row r="12" spans="1:20" x14ac:dyDescent="0.3">
      <c r="A12" s="39"/>
      <c r="B12" s="2" t="s">
        <v>17</v>
      </c>
      <c r="C12" s="19">
        <v>18333.669999999998</v>
      </c>
      <c r="D12" s="3">
        <v>25000</v>
      </c>
      <c r="E12" s="3">
        <v>25000</v>
      </c>
      <c r="F12" s="20">
        <f>SUM(C12:E12)</f>
        <v>68333.67</v>
      </c>
      <c r="G12" s="19">
        <v>15000.27</v>
      </c>
      <c r="H12" s="3">
        <v>27500</v>
      </c>
      <c r="I12" s="3">
        <v>26192.81</v>
      </c>
      <c r="J12" s="20">
        <f t="shared" si="2"/>
        <v>68693.08</v>
      </c>
      <c r="K12" s="19">
        <v>27500</v>
      </c>
      <c r="L12" s="3">
        <v>24999.45</v>
      </c>
      <c r="M12" s="3">
        <v>27500</v>
      </c>
      <c r="N12" s="20">
        <f t="shared" si="3"/>
        <v>79999.45</v>
      </c>
      <c r="O12" s="19">
        <v>28810.19</v>
      </c>
      <c r="P12" s="3">
        <v>8249.7000000000007</v>
      </c>
      <c r="R12" s="20">
        <f t="shared" si="4"/>
        <v>37059.89</v>
      </c>
      <c r="S12" s="12">
        <f t="shared" si="1"/>
        <v>254086.09000000003</v>
      </c>
    </row>
    <row r="13" spans="1:20" s="1" customFormat="1" ht="11.5" thickBot="1" x14ac:dyDescent="0.35">
      <c r="A13" s="40"/>
      <c r="B13" s="13" t="s">
        <v>14</v>
      </c>
      <c r="C13" s="21">
        <f t="shared" ref="C13:P13" si="7">SUM(C10:C12)</f>
        <v>67689.95</v>
      </c>
      <c r="D13" s="14">
        <f t="shared" si="7"/>
        <v>93508.22</v>
      </c>
      <c r="E13" s="14">
        <f>SUM(E10:E12)</f>
        <v>73157.56</v>
      </c>
      <c r="F13" s="23">
        <f t="shared" ref="F13:F21" si="8">SUM(C13:E13)</f>
        <v>234355.72999999998</v>
      </c>
      <c r="G13" s="21">
        <f>SUM(G10:G12)</f>
        <v>136924.16999999998</v>
      </c>
      <c r="H13" s="14">
        <f>SUM(H10:H12)</f>
        <v>80757.11</v>
      </c>
      <c r="I13" s="14">
        <f t="shared" si="7"/>
        <v>83035.710000000006</v>
      </c>
      <c r="J13" s="23">
        <f t="shared" ref="J13:J21" si="9">SUM(G13:I13)</f>
        <v>300716.99</v>
      </c>
      <c r="K13" s="21">
        <f t="shared" si="7"/>
        <v>91309.19</v>
      </c>
      <c r="L13" s="14">
        <f t="shared" si="7"/>
        <v>87499.45</v>
      </c>
      <c r="M13" s="14">
        <f t="shared" si="7"/>
        <v>92500.55</v>
      </c>
      <c r="N13" s="23">
        <f t="shared" si="3"/>
        <v>271309.19</v>
      </c>
      <c r="O13" s="21">
        <f t="shared" si="7"/>
        <v>91310.19</v>
      </c>
      <c r="P13" s="14">
        <f t="shared" si="7"/>
        <v>94241.99</v>
      </c>
      <c r="Q13" s="14">
        <f>SUM(Q10:Q12)</f>
        <v>0</v>
      </c>
      <c r="R13" s="23">
        <f t="shared" si="4"/>
        <v>185552.18</v>
      </c>
      <c r="S13" s="24">
        <f t="shared" si="1"/>
        <v>991934.08999999985</v>
      </c>
      <c r="T13" s="26"/>
    </row>
    <row r="14" spans="1:20" x14ac:dyDescent="0.3">
      <c r="A14" s="38">
        <v>2022</v>
      </c>
      <c r="B14" s="9" t="s">
        <v>15</v>
      </c>
      <c r="C14" s="17"/>
      <c r="D14" s="10"/>
      <c r="E14" s="10"/>
      <c r="F14" s="18">
        <f t="shared" si="8"/>
        <v>0</v>
      </c>
      <c r="G14" s="17"/>
      <c r="H14" s="10"/>
      <c r="I14" s="10"/>
      <c r="J14" s="18">
        <f t="shared" si="9"/>
        <v>0</v>
      </c>
      <c r="K14" s="17"/>
      <c r="L14" s="10"/>
      <c r="M14" s="10"/>
      <c r="N14" s="18">
        <f t="shared" ref="N14:N21" si="10">SUM(K14:M14)</f>
        <v>0</v>
      </c>
      <c r="O14" s="17"/>
      <c r="P14" s="10"/>
      <c r="Q14" s="10"/>
      <c r="R14" s="18">
        <f t="shared" ref="R14:R21" si="11">SUM(O14:Q14)</f>
        <v>0</v>
      </c>
      <c r="S14" s="11">
        <f t="shared" si="1"/>
        <v>0</v>
      </c>
    </row>
    <row r="15" spans="1:20" x14ac:dyDescent="0.3">
      <c r="A15" s="39"/>
      <c r="B15" s="2" t="s">
        <v>16</v>
      </c>
      <c r="C15" s="19"/>
      <c r="F15" s="20">
        <f t="shared" si="8"/>
        <v>0</v>
      </c>
      <c r="G15" s="19"/>
      <c r="J15" s="20">
        <f t="shared" si="9"/>
        <v>0</v>
      </c>
      <c r="K15" s="19"/>
      <c r="N15" s="20">
        <f t="shared" si="10"/>
        <v>0</v>
      </c>
      <c r="O15" s="19"/>
      <c r="R15" s="20">
        <f t="shared" si="11"/>
        <v>0</v>
      </c>
      <c r="S15" s="12">
        <f t="shared" si="1"/>
        <v>0</v>
      </c>
    </row>
    <row r="16" spans="1:20" x14ac:dyDescent="0.3">
      <c r="A16" s="39"/>
      <c r="B16" s="2" t="s">
        <v>17</v>
      </c>
      <c r="C16" s="19"/>
      <c r="F16" s="20">
        <f t="shared" si="8"/>
        <v>0</v>
      </c>
      <c r="G16" s="19"/>
      <c r="J16" s="20">
        <f t="shared" si="9"/>
        <v>0</v>
      </c>
      <c r="K16" s="19"/>
      <c r="N16" s="20">
        <f t="shared" si="10"/>
        <v>0</v>
      </c>
      <c r="O16" s="19"/>
      <c r="R16" s="20">
        <f t="shared" si="11"/>
        <v>0</v>
      </c>
      <c r="S16" s="12">
        <f t="shared" si="1"/>
        <v>0</v>
      </c>
    </row>
    <row r="17" spans="1:19" ht="11.5" thickBot="1" x14ac:dyDescent="0.35">
      <c r="A17" s="40"/>
      <c r="B17" s="13" t="s">
        <v>14</v>
      </c>
      <c r="C17" s="21">
        <f>SUM(C14:C16)</f>
        <v>0</v>
      </c>
      <c r="D17" s="14">
        <f>SUM(D14:D16)</f>
        <v>0</v>
      </c>
      <c r="E17" s="14">
        <f>SUM(E14:E16)</f>
        <v>0</v>
      </c>
      <c r="F17" s="23">
        <f t="shared" si="8"/>
        <v>0</v>
      </c>
      <c r="G17" s="21">
        <f>SUM(G14:G16)</f>
        <v>0</v>
      </c>
      <c r="H17" s="14">
        <f>SUM(H14:H16)</f>
        <v>0</v>
      </c>
      <c r="I17" s="14">
        <f>SUM(I14:I16)</f>
        <v>0</v>
      </c>
      <c r="J17" s="23">
        <f t="shared" si="9"/>
        <v>0</v>
      </c>
      <c r="K17" s="21">
        <f>SUM(K14:K16)</f>
        <v>0</v>
      </c>
      <c r="L17" s="14">
        <f>SUM(L14:L16)</f>
        <v>0</v>
      </c>
      <c r="M17" s="14">
        <f>SUM(M14:M16)</f>
        <v>0</v>
      </c>
      <c r="N17" s="23">
        <f t="shared" si="10"/>
        <v>0</v>
      </c>
      <c r="O17" s="21">
        <f>SUM(O14:O16)</f>
        <v>0</v>
      </c>
      <c r="P17" s="14">
        <f>SUM(P14:P16)</f>
        <v>0</v>
      </c>
      <c r="Q17" s="14">
        <f>SUM(Q14:Q16)</f>
        <v>0</v>
      </c>
      <c r="R17" s="23">
        <f t="shared" si="11"/>
        <v>0</v>
      </c>
      <c r="S17" s="24">
        <f t="shared" si="1"/>
        <v>0</v>
      </c>
    </row>
    <row r="18" spans="1:19" x14ac:dyDescent="0.3">
      <c r="A18" s="38">
        <v>2023</v>
      </c>
      <c r="B18" s="9" t="s">
        <v>15</v>
      </c>
      <c r="C18" s="17"/>
      <c r="D18" s="10"/>
      <c r="E18" s="10"/>
      <c r="F18" s="18">
        <f t="shared" si="8"/>
        <v>0</v>
      </c>
      <c r="G18" s="17"/>
      <c r="H18" s="10"/>
      <c r="I18" s="10"/>
      <c r="J18" s="18">
        <f t="shared" si="9"/>
        <v>0</v>
      </c>
      <c r="K18" s="17"/>
      <c r="L18" s="10"/>
      <c r="M18" s="10"/>
      <c r="N18" s="18">
        <f t="shared" si="10"/>
        <v>0</v>
      </c>
      <c r="O18" s="17"/>
      <c r="P18" s="10"/>
      <c r="Q18" s="10"/>
      <c r="R18" s="18">
        <f t="shared" si="11"/>
        <v>0</v>
      </c>
      <c r="S18" s="11">
        <f t="shared" si="1"/>
        <v>0</v>
      </c>
    </row>
    <row r="19" spans="1:19" x14ac:dyDescent="0.3">
      <c r="A19" s="39"/>
      <c r="B19" s="2" t="s">
        <v>16</v>
      </c>
      <c r="C19" s="19"/>
      <c r="F19" s="20">
        <f t="shared" si="8"/>
        <v>0</v>
      </c>
      <c r="G19" s="19"/>
      <c r="J19" s="20">
        <f t="shared" si="9"/>
        <v>0</v>
      </c>
      <c r="K19" s="19"/>
      <c r="N19" s="20">
        <f t="shared" si="10"/>
        <v>0</v>
      </c>
      <c r="O19" s="19"/>
      <c r="R19" s="20">
        <f t="shared" si="11"/>
        <v>0</v>
      </c>
      <c r="S19" s="12">
        <f t="shared" si="1"/>
        <v>0</v>
      </c>
    </row>
    <row r="20" spans="1:19" x14ac:dyDescent="0.3">
      <c r="A20" s="39"/>
      <c r="B20" s="2" t="s">
        <v>17</v>
      </c>
      <c r="C20" s="19"/>
      <c r="F20" s="20">
        <f t="shared" si="8"/>
        <v>0</v>
      </c>
      <c r="G20" s="19"/>
      <c r="J20" s="20">
        <f t="shared" si="9"/>
        <v>0</v>
      </c>
      <c r="K20" s="19"/>
      <c r="N20" s="20">
        <f t="shared" si="10"/>
        <v>0</v>
      </c>
      <c r="O20" s="19"/>
      <c r="R20" s="20">
        <f t="shared" si="11"/>
        <v>0</v>
      </c>
      <c r="S20" s="12">
        <f t="shared" si="1"/>
        <v>0</v>
      </c>
    </row>
    <row r="21" spans="1:19" ht="11.5" thickBot="1" x14ac:dyDescent="0.35">
      <c r="A21" s="40"/>
      <c r="B21" s="13" t="s">
        <v>14</v>
      </c>
      <c r="C21" s="21">
        <f>SUM(C18:C20)</f>
        <v>0</v>
      </c>
      <c r="D21" s="14">
        <f>SUM(D18:D20)</f>
        <v>0</v>
      </c>
      <c r="E21" s="14">
        <f>SUM(E18:E20)</f>
        <v>0</v>
      </c>
      <c r="F21" s="23">
        <f t="shared" si="8"/>
        <v>0</v>
      </c>
      <c r="G21" s="21">
        <f>SUM(G18:G20)</f>
        <v>0</v>
      </c>
      <c r="H21" s="14">
        <f>SUM(H18:H20)</f>
        <v>0</v>
      </c>
      <c r="I21" s="14">
        <f>SUM(I18:I20)</f>
        <v>0</v>
      </c>
      <c r="J21" s="23">
        <f t="shared" si="9"/>
        <v>0</v>
      </c>
      <c r="K21" s="21">
        <f>SUM(K18:K20)</f>
        <v>0</v>
      </c>
      <c r="L21" s="14">
        <f>SUM(L18:L20)</f>
        <v>0</v>
      </c>
      <c r="M21" s="14">
        <f>SUM(M18:M20)</f>
        <v>0</v>
      </c>
      <c r="N21" s="23">
        <f t="shared" si="10"/>
        <v>0</v>
      </c>
      <c r="O21" s="21">
        <f>SUM(O18:O20)</f>
        <v>0</v>
      </c>
      <c r="P21" s="14">
        <f>SUM(P18:P20)</f>
        <v>0</v>
      </c>
      <c r="Q21" s="14">
        <f>SUM(Q18:Q20)</f>
        <v>0</v>
      </c>
      <c r="R21" s="23">
        <f t="shared" si="11"/>
        <v>0</v>
      </c>
      <c r="S21" s="24">
        <f t="shared" si="1"/>
        <v>0</v>
      </c>
    </row>
    <row r="23" spans="1:19" x14ac:dyDescent="0.3">
      <c r="B23" s="3"/>
      <c r="C23" s="4"/>
      <c r="F23" s="3"/>
      <c r="G23" s="4"/>
      <c r="J23" s="3"/>
      <c r="K23" s="4"/>
      <c r="N23" s="3"/>
      <c r="O23" s="4"/>
      <c r="Q23" s="2"/>
      <c r="R23" s="2"/>
      <c r="S23" s="2"/>
    </row>
    <row r="24" spans="1:19" x14ac:dyDescent="0.3">
      <c r="B24" s="3"/>
      <c r="C24" s="4"/>
      <c r="F24" s="3"/>
      <c r="G24" s="4"/>
      <c r="J24" s="3"/>
      <c r="K24" s="4"/>
      <c r="N24" s="3"/>
      <c r="O24" s="4"/>
      <c r="Q24" s="2"/>
      <c r="R24" s="2"/>
      <c r="S24" s="2"/>
    </row>
    <row r="25" spans="1:19" x14ac:dyDescent="0.3">
      <c r="B25" s="3"/>
      <c r="C25" s="4"/>
      <c r="F25" s="3"/>
      <c r="G25" s="4"/>
      <c r="J25" s="3"/>
      <c r="K25" s="4"/>
      <c r="N25" s="3"/>
      <c r="O25" s="4"/>
      <c r="Q25" s="2"/>
      <c r="R25" s="2"/>
      <c r="S25" s="2"/>
    </row>
    <row r="26" spans="1:19" x14ac:dyDescent="0.3">
      <c r="B26" s="3"/>
      <c r="C26" s="4"/>
      <c r="F26" s="3"/>
      <c r="G26" s="4"/>
      <c r="J26" s="3"/>
      <c r="K26" s="4"/>
      <c r="N26" s="3"/>
      <c r="O26" s="4"/>
      <c r="Q26" s="2"/>
      <c r="R26" s="2"/>
      <c r="S26" s="2"/>
    </row>
    <row r="27" spans="1:19" x14ac:dyDescent="0.3">
      <c r="B27" s="3"/>
      <c r="C27" s="4"/>
      <c r="F27" s="3"/>
      <c r="G27" s="4"/>
      <c r="J27" s="3"/>
      <c r="K27" s="4"/>
      <c r="N27" s="3"/>
      <c r="O27" s="4"/>
      <c r="Q27" s="2"/>
      <c r="R27" s="2"/>
      <c r="S27" s="2"/>
    </row>
  </sheetData>
  <mergeCells count="5">
    <mergeCell ref="A2:A5"/>
    <mergeCell ref="A6:A9"/>
    <mergeCell ref="A10:A13"/>
    <mergeCell ref="A14:A17"/>
    <mergeCell ref="A18:A21"/>
  </mergeCells>
  <conditionalFormatting sqref="O2:Q2 K2:M2 G2:I2 C2:E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E6 G6:I6 K6:M6 O6:Q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E10 G10:I10 K10:M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paperSize="9" scale="60" orientation="landscape" r:id="rId1"/>
  <colBreaks count="1" manualBreakCount="1">
    <brk id="19" max="41" man="1"/>
  </colBreaks>
  <customProperties>
    <customPr name="LastActive" r:id="rId2"/>
  </customPropertie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2426-F403-4C00-AF16-EA28C8E75551}">
  <sheetPr codeName="Лист2"/>
  <dimension ref="A1:C282"/>
  <sheetViews>
    <sheetView topLeftCell="A277" workbookViewId="0">
      <selection activeCell="A282" sqref="A282"/>
    </sheetView>
  </sheetViews>
  <sheetFormatPr defaultRowHeight="14.5" x14ac:dyDescent="0.35"/>
  <cols>
    <col min="1" max="1" width="37.54296875" style="28" bestFit="1" customWidth="1"/>
    <col min="2" max="2" width="31.36328125" style="28" bestFit="1" customWidth="1"/>
    <col min="3" max="3" width="72" style="28" bestFit="1" customWidth="1"/>
    <col min="4" max="16384" width="8.7265625" style="28"/>
  </cols>
  <sheetData>
    <row r="1" spans="1:3" x14ac:dyDescent="0.35">
      <c r="A1" s="27" t="s">
        <v>371</v>
      </c>
    </row>
    <row r="3" spans="1:3" x14ac:dyDescent="0.35">
      <c r="A3" s="27" t="s">
        <v>372</v>
      </c>
    </row>
    <row r="4" spans="1:3" x14ac:dyDescent="0.35">
      <c r="A4" s="27" t="s">
        <v>373</v>
      </c>
    </row>
    <row r="5" spans="1:3" x14ac:dyDescent="0.35">
      <c r="A5" s="27" t="s">
        <v>374</v>
      </c>
      <c r="B5" s="27" t="s">
        <v>375</v>
      </c>
      <c r="C5" s="27" t="s">
        <v>376</v>
      </c>
    </row>
    <row r="6" spans="1:3" x14ac:dyDescent="0.35">
      <c r="A6" s="27" t="s">
        <v>377</v>
      </c>
      <c r="B6" s="27" t="s">
        <v>378</v>
      </c>
      <c r="C6" s="27" t="s">
        <v>379</v>
      </c>
    </row>
    <row r="7" spans="1:3" x14ac:dyDescent="0.35">
      <c r="A7" s="27" t="s">
        <v>374</v>
      </c>
      <c r="B7" s="27" t="s">
        <v>375</v>
      </c>
      <c r="C7" s="27" t="s">
        <v>376</v>
      </c>
    </row>
    <row r="8" spans="1:3" x14ac:dyDescent="0.35">
      <c r="B8" s="27" t="s">
        <v>350</v>
      </c>
      <c r="C8" s="27" t="s">
        <v>84</v>
      </c>
    </row>
    <row r="9" spans="1:3" x14ac:dyDescent="0.35">
      <c r="B9" s="27" t="s">
        <v>357</v>
      </c>
      <c r="C9" s="27" t="s">
        <v>84</v>
      </c>
    </row>
    <row r="10" spans="1:3" x14ac:dyDescent="0.35">
      <c r="B10" s="27" t="s">
        <v>359</v>
      </c>
      <c r="C10" s="27" t="s">
        <v>369</v>
      </c>
    </row>
    <row r="11" spans="1:3" x14ac:dyDescent="0.35">
      <c r="B11" s="27" t="s">
        <v>109</v>
      </c>
      <c r="C11" s="27" t="s">
        <v>173</v>
      </c>
    </row>
    <row r="12" spans="1:3" x14ac:dyDescent="0.35">
      <c r="B12" s="27" t="s">
        <v>334</v>
      </c>
      <c r="C12" s="27" t="s">
        <v>333</v>
      </c>
    </row>
    <row r="13" spans="1:3" x14ac:dyDescent="0.35">
      <c r="A13" s="27" t="s">
        <v>19</v>
      </c>
      <c r="B13" s="27" t="s">
        <v>20</v>
      </c>
      <c r="C13" s="27" t="s">
        <v>21</v>
      </c>
    </row>
    <row r="14" spans="1:3" x14ac:dyDescent="0.35">
      <c r="A14" s="27" t="s">
        <v>22</v>
      </c>
      <c r="B14" s="27" t="s">
        <v>20</v>
      </c>
      <c r="C14" s="27" t="s">
        <v>23</v>
      </c>
    </row>
    <row r="15" spans="1:3" x14ac:dyDescent="0.35">
      <c r="A15" s="27" t="s">
        <v>22</v>
      </c>
      <c r="B15" s="27" t="s">
        <v>24</v>
      </c>
      <c r="C15" s="27" t="s">
        <v>25</v>
      </c>
    </row>
    <row r="16" spans="1:3" x14ac:dyDescent="0.35">
      <c r="A16" s="27" t="s">
        <v>22</v>
      </c>
      <c r="B16" s="27" t="s">
        <v>380</v>
      </c>
      <c r="C16" s="27" t="s">
        <v>380</v>
      </c>
    </row>
    <row r="17" spans="1:3" x14ac:dyDescent="0.35">
      <c r="A17" s="27" t="s">
        <v>26</v>
      </c>
      <c r="B17" s="27" t="s">
        <v>27</v>
      </c>
      <c r="C17" s="27" t="s">
        <v>28</v>
      </c>
    </row>
    <row r="18" spans="1:3" x14ac:dyDescent="0.35">
      <c r="A18" s="27" t="s">
        <v>29</v>
      </c>
      <c r="B18" s="27" t="s">
        <v>20</v>
      </c>
      <c r="C18" s="27" t="s">
        <v>30</v>
      </c>
    </row>
    <row r="19" spans="1:3" x14ac:dyDescent="0.35">
      <c r="A19" s="27" t="s">
        <v>31</v>
      </c>
      <c r="B19" s="27" t="s">
        <v>32</v>
      </c>
      <c r="C19" s="27" t="s">
        <v>360</v>
      </c>
    </row>
    <row r="20" spans="1:3" x14ac:dyDescent="0.35">
      <c r="A20" s="27" t="s">
        <v>31</v>
      </c>
      <c r="B20" s="27" t="s">
        <v>20</v>
      </c>
      <c r="C20" s="27" t="s">
        <v>23</v>
      </c>
    </row>
    <row r="21" spans="1:3" x14ac:dyDescent="0.35">
      <c r="A21" s="27" t="s">
        <v>38</v>
      </c>
      <c r="B21" s="27" t="s">
        <v>32</v>
      </c>
      <c r="C21" s="27" t="s">
        <v>37</v>
      </c>
    </row>
    <row r="22" spans="1:3" x14ac:dyDescent="0.35">
      <c r="A22" s="27" t="s">
        <v>39</v>
      </c>
      <c r="B22" s="27" t="s">
        <v>32</v>
      </c>
      <c r="C22" s="27" t="s">
        <v>37</v>
      </c>
    </row>
    <row r="23" spans="1:3" x14ac:dyDescent="0.35">
      <c r="A23" s="27" t="s">
        <v>40</v>
      </c>
      <c r="B23" s="27" t="s">
        <v>32</v>
      </c>
      <c r="C23" s="27" t="s">
        <v>360</v>
      </c>
    </row>
    <row r="24" spans="1:3" x14ac:dyDescent="0.35">
      <c r="A24" s="27" t="s">
        <v>41</v>
      </c>
      <c r="B24" s="27" t="s">
        <v>42</v>
      </c>
      <c r="C24" s="27" t="s">
        <v>43</v>
      </c>
    </row>
    <row r="25" spans="1:3" x14ac:dyDescent="0.35">
      <c r="A25" s="27" t="s">
        <v>41</v>
      </c>
      <c r="B25" s="27" t="s">
        <v>44</v>
      </c>
      <c r="C25" s="27" t="s">
        <v>45</v>
      </c>
    </row>
    <row r="26" spans="1:3" x14ac:dyDescent="0.35">
      <c r="A26" s="27" t="s">
        <v>240</v>
      </c>
      <c r="B26" s="27" t="s">
        <v>241</v>
      </c>
      <c r="C26" s="27" t="s">
        <v>37</v>
      </c>
    </row>
    <row r="27" spans="1:3" x14ac:dyDescent="0.35">
      <c r="A27" s="27" t="s">
        <v>46</v>
      </c>
      <c r="B27" s="27" t="s">
        <v>47</v>
      </c>
      <c r="C27" s="27" t="s">
        <v>48</v>
      </c>
    </row>
    <row r="28" spans="1:3" x14ac:dyDescent="0.35">
      <c r="A28" s="27" t="s">
        <v>325</v>
      </c>
      <c r="B28" s="27" t="s">
        <v>75</v>
      </c>
      <c r="C28" s="27" t="s">
        <v>74</v>
      </c>
    </row>
    <row r="29" spans="1:3" x14ac:dyDescent="0.35">
      <c r="A29" s="27" t="s">
        <v>72</v>
      </c>
      <c r="B29" s="27" t="s">
        <v>73</v>
      </c>
      <c r="C29" s="27" t="s">
        <v>74</v>
      </c>
    </row>
    <row r="30" spans="1:3" x14ac:dyDescent="0.35">
      <c r="A30" s="27" t="s">
        <v>72</v>
      </c>
      <c r="B30" s="27" t="s">
        <v>75</v>
      </c>
      <c r="C30" s="27" t="s">
        <v>74</v>
      </c>
    </row>
    <row r="31" spans="1:3" x14ac:dyDescent="0.35">
      <c r="A31" s="27" t="s">
        <v>198</v>
      </c>
      <c r="B31" s="27" t="s">
        <v>124</v>
      </c>
      <c r="C31" s="27" t="s">
        <v>87</v>
      </c>
    </row>
    <row r="32" spans="1:3" x14ac:dyDescent="0.35">
      <c r="A32" s="27" t="s">
        <v>223</v>
      </c>
      <c r="B32" s="27" t="s">
        <v>109</v>
      </c>
      <c r="C32" s="27" t="s">
        <v>224</v>
      </c>
    </row>
    <row r="33" spans="1:3" x14ac:dyDescent="0.35">
      <c r="A33" s="27" t="s">
        <v>329</v>
      </c>
      <c r="B33" s="27" t="s">
        <v>350</v>
      </c>
      <c r="C33" s="27" t="s">
        <v>84</v>
      </c>
    </row>
    <row r="34" spans="1:3" x14ac:dyDescent="0.35">
      <c r="A34" s="27" t="s">
        <v>329</v>
      </c>
      <c r="B34" s="27" t="s">
        <v>358</v>
      </c>
      <c r="C34" s="27" t="s">
        <v>330</v>
      </c>
    </row>
    <row r="35" spans="1:3" x14ac:dyDescent="0.35">
      <c r="A35" s="27" t="s">
        <v>329</v>
      </c>
      <c r="B35" s="27" t="s">
        <v>81</v>
      </c>
      <c r="C35" s="27" t="s">
        <v>37</v>
      </c>
    </row>
    <row r="36" spans="1:3" x14ac:dyDescent="0.35">
      <c r="A36" s="27" t="s">
        <v>329</v>
      </c>
      <c r="B36" s="27" t="s">
        <v>65</v>
      </c>
      <c r="C36" s="27" t="s">
        <v>48</v>
      </c>
    </row>
    <row r="37" spans="1:3" x14ac:dyDescent="0.35">
      <c r="A37" s="27" t="s">
        <v>61</v>
      </c>
      <c r="C37" s="27" t="s">
        <v>62</v>
      </c>
    </row>
    <row r="38" spans="1:3" x14ac:dyDescent="0.35">
      <c r="A38" s="27" t="s">
        <v>162</v>
      </c>
      <c r="B38" s="27" t="s">
        <v>163</v>
      </c>
      <c r="C38" s="27" t="s">
        <v>164</v>
      </c>
    </row>
    <row r="39" spans="1:3" x14ac:dyDescent="0.35">
      <c r="A39" s="27" t="s">
        <v>162</v>
      </c>
      <c r="B39" s="27" t="s">
        <v>83</v>
      </c>
      <c r="C39" s="27" t="s">
        <v>165</v>
      </c>
    </row>
    <row r="40" spans="1:3" x14ac:dyDescent="0.35">
      <c r="A40" s="27" t="s">
        <v>162</v>
      </c>
      <c r="B40" s="27" t="s">
        <v>65</v>
      </c>
      <c r="C40" s="27" t="s">
        <v>48</v>
      </c>
    </row>
    <row r="41" spans="1:3" x14ac:dyDescent="0.35">
      <c r="A41" s="27" t="s">
        <v>162</v>
      </c>
      <c r="B41" s="27" t="s">
        <v>92</v>
      </c>
      <c r="C41" s="27" t="s">
        <v>87</v>
      </c>
    </row>
    <row r="42" spans="1:3" x14ac:dyDescent="0.35">
      <c r="A42" s="27" t="s">
        <v>381</v>
      </c>
      <c r="B42" s="27" t="s">
        <v>347</v>
      </c>
      <c r="C42" s="27" t="s">
        <v>48</v>
      </c>
    </row>
    <row r="43" spans="1:3" x14ac:dyDescent="0.35">
      <c r="A43" s="27" t="s">
        <v>52</v>
      </c>
      <c r="B43" s="27" t="s">
        <v>32</v>
      </c>
      <c r="C43" s="27" t="s">
        <v>360</v>
      </c>
    </row>
    <row r="44" spans="1:3" x14ac:dyDescent="0.35">
      <c r="A44" s="27" t="s">
        <v>52</v>
      </c>
      <c r="B44" s="27" t="s">
        <v>53</v>
      </c>
      <c r="C44" s="27" t="s">
        <v>361</v>
      </c>
    </row>
    <row r="45" spans="1:3" x14ac:dyDescent="0.35">
      <c r="A45" s="27" t="s">
        <v>52</v>
      </c>
      <c r="B45" s="27" t="s">
        <v>54</v>
      </c>
      <c r="C45" s="27" t="s">
        <v>361</v>
      </c>
    </row>
    <row r="46" spans="1:3" x14ac:dyDescent="0.35">
      <c r="A46" s="27" t="s">
        <v>52</v>
      </c>
      <c r="B46" s="27" t="s">
        <v>55</v>
      </c>
      <c r="C46" s="27" t="s">
        <v>56</v>
      </c>
    </row>
    <row r="47" spans="1:3" x14ac:dyDescent="0.35">
      <c r="A47" s="27" t="s">
        <v>57</v>
      </c>
      <c r="B47" s="27" t="s">
        <v>58</v>
      </c>
      <c r="C47" s="27" t="s">
        <v>59</v>
      </c>
    </row>
    <row r="48" spans="1:3" x14ac:dyDescent="0.35">
      <c r="A48" s="27" t="s">
        <v>69</v>
      </c>
      <c r="B48" s="27" t="s">
        <v>32</v>
      </c>
      <c r="C48" s="27" t="s">
        <v>37</v>
      </c>
    </row>
    <row r="49" spans="1:3" x14ac:dyDescent="0.35">
      <c r="A49" s="27" t="s">
        <v>103</v>
      </c>
      <c r="B49" s="27" t="s">
        <v>85</v>
      </c>
      <c r="C49" s="27" t="s">
        <v>104</v>
      </c>
    </row>
    <row r="50" spans="1:3" x14ac:dyDescent="0.35">
      <c r="A50" s="27" t="s">
        <v>79</v>
      </c>
      <c r="B50" s="27" t="s">
        <v>80</v>
      </c>
      <c r="C50" s="27" t="s">
        <v>37</v>
      </c>
    </row>
    <row r="51" spans="1:3" x14ac:dyDescent="0.35">
      <c r="A51" s="27" t="s">
        <v>382</v>
      </c>
      <c r="B51" s="27" t="s">
        <v>81</v>
      </c>
      <c r="C51" s="27" t="s">
        <v>360</v>
      </c>
    </row>
    <row r="52" spans="1:3" x14ac:dyDescent="0.35">
      <c r="A52" s="27" t="s">
        <v>133</v>
      </c>
      <c r="B52" s="27" t="s">
        <v>83</v>
      </c>
      <c r="C52" s="27" t="s">
        <v>25</v>
      </c>
    </row>
    <row r="53" spans="1:3" x14ac:dyDescent="0.35">
      <c r="A53" s="27" t="s">
        <v>383</v>
      </c>
      <c r="B53" s="27" t="s">
        <v>58</v>
      </c>
      <c r="C53" s="27" t="s">
        <v>87</v>
      </c>
    </row>
    <row r="54" spans="1:3" x14ac:dyDescent="0.35">
      <c r="A54" s="27" t="s">
        <v>383</v>
      </c>
      <c r="B54" s="27" t="s">
        <v>65</v>
      </c>
      <c r="C54" s="27" t="s">
        <v>48</v>
      </c>
    </row>
    <row r="55" spans="1:3" x14ac:dyDescent="0.35">
      <c r="A55" s="27" t="s">
        <v>384</v>
      </c>
      <c r="B55" s="27" t="s">
        <v>348</v>
      </c>
      <c r="C55" s="27" t="s">
        <v>87</v>
      </c>
    </row>
    <row r="56" spans="1:3" x14ac:dyDescent="0.35">
      <c r="A56" s="27" t="s">
        <v>267</v>
      </c>
      <c r="B56" s="27" t="s">
        <v>352</v>
      </c>
      <c r="C56" s="27" t="s">
        <v>268</v>
      </c>
    </row>
    <row r="57" spans="1:3" x14ac:dyDescent="0.35">
      <c r="A57" s="27" t="s">
        <v>148</v>
      </c>
      <c r="B57" s="27" t="s">
        <v>149</v>
      </c>
      <c r="C57" s="27" t="s">
        <v>150</v>
      </c>
    </row>
    <row r="58" spans="1:3" x14ac:dyDescent="0.35">
      <c r="A58" s="27" t="s">
        <v>148</v>
      </c>
      <c r="B58" s="27" t="s">
        <v>151</v>
      </c>
      <c r="C58" s="27" t="s">
        <v>152</v>
      </c>
    </row>
    <row r="59" spans="1:3" x14ac:dyDescent="0.35">
      <c r="A59" s="27" t="s">
        <v>148</v>
      </c>
      <c r="B59" s="27" t="s">
        <v>24</v>
      </c>
      <c r="C59" s="27" t="s">
        <v>153</v>
      </c>
    </row>
    <row r="60" spans="1:3" x14ac:dyDescent="0.35">
      <c r="A60" s="27" t="s">
        <v>138</v>
      </c>
      <c r="B60" s="27" t="s">
        <v>71</v>
      </c>
      <c r="C60" s="27" t="s">
        <v>139</v>
      </c>
    </row>
    <row r="61" spans="1:3" x14ac:dyDescent="0.35">
      <c r="A61" s="27" t="s">
        <v>385</v>
      </c>
      <c r="B61" s="27" t="s">
        <v>32</v>
      </c>
      <c r="C61" s="27" t="s">
        <v>84</v>
      </c>
    </row>
    <row r="62" spans="1:3" x14ac:dyDescent="0.35">
      <c r="A62" s="27" t="s">
        <v>386</v>
      </c>
      <c r="B62" s="27" t="s">
        <v>105</v>
      </c>
      <c r="C62" s="27" t="s">
        <v>360</v>
      </c>
    </row>
    <row r="63" spans="1:3" x14ac:dyDescent="0.35">
      <c r="A63" s="27" t="s">
        <v>386</v>
      </c>
      <c r="B63" s="27" t="s">
        <v>105</v>
      </c>
      <c r="C63" s="27" t="s">
        <v>360</v>
      </c>
    </row>
    <row r="64" spans="1:3" x14ac:dyDescent="0.35">
      <c r="A64" s="27" t="s">
        <v>70</v>
      </c>
      <c r="B64" s="27" t="s">
        <v>71</v>
      </c>
      <c r="C64" s="27" t="s">
        <v>37</v>
      </c>
    </row>
    <row r="65" spans="1:3" x14ac:dyDescent="0.35">
      <c r="A65" s="27" t="s">
        <v>70</v>
      </c>
      <c r="B65" s="27" t="s">
        <v>71</v>
      </c>
      <c r="C65" s="27" t="s">
        <v>37</v>
      </c>
    </row>
    <row r="66" spans="1:3" x14ac:dyDescent="0.35">
      <c r="A66" s="27" t="s">
        <v>106</v>
      </c>
      <c r="B66" s="27" t="s">
        <v>75</v>
      </c>
      <c r="C66" s="27" t="s">
        <v>107</v>
      </c>
    </row>
    <row r="67" spans="1:3" x14ac:dyDescent="0.35">
      <c r="A67" s="27" t="s">
        <v>112</v>
      </c>
      <c r="B67" s="27" t="s">
        <v>71</v>
      </c>
      <c r="C67" s="27" t="s">
        <v>84</v>
      </c>
    </row>
    <row r="68" spans="1:3" x14ac:dyDescent="0.35">
      <c r="A68" s="27" t="s">
        <v>60</v>
      </c>
      <c r="B68" s="27" t="s">
        <v>58</v>
      </c>
      <c r="C68" s="27" t="s">
        <v>59</v>
      </c>
    </row>
    <row r="69" spans="1:3" x14ac:dyDescent="0.35">
      <c r="A69" s="27" t="s">
        <v>113</v>
      </c>
      <c r="B69" s="27" t="s">
        <v>71</v>
      </c>
      <c r="C69" s="27" t="s">
        <v>114</v>
      </c>
    </row>
    <row r="70" spans="1:3" x14ac:dyDescent="0.35">
      <c r="A70" s="27" t="s">
        <v>387</v>
      </c>
      <c r="B70" s="27" t="s">
        <v>80</v>
      </c>
      <c r="C70" s="27" t="s">
        <v>84</v>
      </c>
    </row>
    <row r="71" spans="1:3" x14ac:dyDescent="0.35">
      <c r="A71" s="27" t="s">
        <v>388</v>
      </c>
      <c r="B71" s="27" t="s">
        <v>71</v>
      </c>
      <c r="C71" s="27" t="s">
        <v>116</v>
      </c>
    </row>
    <row r="72" spans="1:3" x14ac:dyDescent="0.35">
      <c r="A72" s="27" t="s">
        <v>389</v>
      </c>
      <c r="B72" s="27" t="s">
        <v>71</v>
      </c>
      <c r="C72" s="27" t="s">
        <v>117</v>
      </c>
    </row>
    <row r="73" spans="1:3" x14ac:dyDescent="0.35">
      <c r="A73" s="27" t="s">
        <v>118</v>
      </c>
      <c r="B73" s="27" t="s">
        <v>71</v>
      </c>
      <c r="C73" s="27" t="s">
        <v>119</v>
      </c>
    </row>
    <row r="74" spans="1:3" x14ac:dyDescent="0.35">
      <c r="A74" s="27" t="s">
        <v>299</v>
      </c>
      <c r="B74" s="27" t="s">
        <v>32</v>
      </c>
      <c r="C74" s="27" t="s">
        <v>300</v>
      </c>
    </row>
    <row r="75" spans="1:3" x14ac:dyDescent="0.35">
      <c r="A75" s="27" t="s">
        <v>299</v>
      </c>
      <c r="B75" s="27" t="s">
        <v>109</v>
      </c>
      <c r="C75" s="27" t="s">
        <v>301</v>
      </c>
    </row>
    <row r="76" spans="1:3" x14ac:dyDescent="0.35">
      <c r="A76" s="27" t="s">
        <v>309</v>
      </c>
      <c r="B76" s="27" t="s">
        <v>71</v>
      </c>
      <c r="C76" s="27" t="s">
        <v>308</v>
      </c>
    </row>
    <row r="77" spans="1:3" x14ac:dyDescent="0.35">
      <c r="A77" s="27" t="s">
        <v>287</v>
      </c>
      <c r="B77" s="27" t="s">
        <v>32</v>
      </c>
      <c r="C77" s="27" t="s">
        <v>360</v>
      </c>
    </row>
    <row r="78" spans="1:3" x14ac:dyDescent="0.35">
      <c r="A78" s="27" t="s">
        <v>181</v>
      </c>
      <c r="B78" s="27" t="s">
        <v>182</v>
      </c>
      <c r="C78" s="27" t="s">
        <v>183</v>
      </c>
    </row>
    <row r="79" spans="1:3" x14ac:dyDescent="0.35">
      <c r="A79" s="27" t="s">
        <v>335</v>
      </c>
      <c r="B79" s="27" t="s">
        <v>336</v>
      </c>
      <c r="C79" s="27" t="s">
        <v>337</v>
      </c>
    </row>
    <row r="80" spans="1:3" x14ac:dyDescent="0.35">
      <c r="A80" s="27" t="s">
        <v>335</v>
      </c>
      <c r="B80" s="27" t="s">
        <v>338</v>
      </c>
      <c r="C80" s="27" t="s">
        <v>337</v>
      </c>
    </row>
    <row r="81" spans="1:3" x14ac:dyDescent="0.35">
      <c r="A81" s="27" t="s">
        <v>271</v>
      </c>
      <c r="B81" s="27" t="s">
        <v>32</v>
      </c>
      <c r="C81" s="27" t="s">
        <v>84</v>
      </c>
    </row>
    <row r="82" spans="1:3" x14ac:dyDescent="0.35">
      <c r="A82" s="27" t="s">
        <v>121</v>
      </c>
      <c r="B82" s="27" t="s">
        <v>32</v>
      </c>
      <c r="C82" s="27" t="s">
        <v>122</v>
      </c>
    </row>
    <row r="83" spans="1:3" x14ac:dyDescent="0.35">
      <c r="A83" s="27" t="s">
        <v>123</v>
      </c>
      <c r="B83" s="27" t="s">
        <v>124</v>
      </c>
      <c r="C83" s="27" t="s">
        <v>87</v>
      </c>
    </row>
    <row r="84" spans="1:3" x14ac:dyDescent="0.35">
      <c r="A84" s="27" t="s">
        <v>230</v>
      </c>
      <c r="B84" s="27" t="s">
        <v>231</v>
      </c>
      <c r="C84" s="27" t="s">
        <v>366</v>
      </c>
    </row>
    <row r="85" spans="1:3" x14ac:dyDescent="0.35">
      <c r="A85" s="27" t="s">
        <v>230</v>
      </c>
      <c r="B85" s="27" t="s">
        <v>232</v>
      </c>
      <c r="C85" s="27" t="s">
        <v>366</v>
      </c>
    </row>
    <row r="86" spans="1:3" x14ac:dyDescent="0.35">
      <c r="A86" s="27" t="s">
        <v>390</v>
      </c>
      <c r="B86" s="27" t="s">
        <v>47</v>
      </c>
      <c r="C86" s="27" t="s">
        <v>130</v>
      </c>
    </row>
    <row r="87" spans="1:3" x14ac:dyDescent="0.35">
      <c r="A87" s="27" t="s">
        <v>199</v>
      </c>
      <c r="B87" s="27" t="s">
        <v>124</v>
      </c>
      <c r="C87" s="27" t="s">
        <v>87</v>
      </c>
    </row>
    <row r="88" spans="1:3" x14ac:dyDescent="0.35">
      <c r="A88" s="27" t="s">
        <v>49</v>
      </c>
      <c r="B88" s="27" t="s">
        <v>50</v>
      </c>
      <c r="C88" s="27" t="s">
        <v>48</v>
      </c>
    </row>
    <row r="89" spans="1:3" x14ac:dyDescent="0.35">
      <c r="A89" s="27" t="s">
        <v>49</v>
      </c>
      <c r="B89" s="27" t="s">
        <v>24</v>
      </c>
      <c r="C89" s="27" t="s">
        <v>48</v>
      </c>
    </row>
    <row r="90" spans="1:3" x14ac:dyDescent="0.35">
      <c r="A90" s="27" t="s">
        <v>132</v>
      </c>
      <c r="B90" s="27" t="s">
        <v>350</v>
      </c>
      <c r="C90" s="27" t="s">
        <v>37</v>
      </c>
    </row>
    <row r="91" spans="1:3" x14ac:dyDescent="0.35">
      <c r="A91" s="27" t="s">
        <v>169</v>
      </c>
      <c r="B91" s="27" t="s">
        <v>170</v>
      </c>
      <c r="C91" s="27" t="s">
        <v>171</v>
      </c>
    </row>
    <row r="92" spans="1:3" x14ac:dyDescent="0.35">
      <c r="A92" s="27" t="s">
        <v>169</v>
      </c>
      <c r="B92" s="27" t="s">
        <v>47</v>
      </c>
      <c r="C92" s="27" t="s">
        <v>171</v>
      </c>
    </row>
    <row r="93" spans="1:3" x14ac:dyDescent="0.35">
      <c r="A93" s="27" t="s">
        <v>169</v>
      </c>
      <c r="B93" s="27" t="s">
        <v>71</v>
      </c>
      <c r="C93" s="27" t="s">
        <v>37</v>
      </c>
    </row>
    <row r="94" spans="1:3" x14ac:dyDescent="0.35">
      <c r="A94" s="27" t="s">
        <v>134</v>
      </c>
      <c r="B94" s="27" t="s">
        <v>32</v>
      </c>
      <c r="C94" s="27" t="s">
        <v>362</v>
      </c>
    </row>
    <row r="95" spans="1:3" x14ac:dyDescent="0.35">
      <c r="A95" s="27" t="s">
        <v>88</v>
      </c>
      <c r="B95" s="27" t="s">
        <v>47</v>
      </c>
      <c r="C95" s="27" t="s">
        <v>89</v>
      </c>
    </row>
    <row r="96" spans="1:3" x14ac:dyDescent="0.35">
      <c r="A96" s="27" t="s">
        <v>88</v>
      </c>
      <c r="B96" s="27" t="s">
        <v>90</v>
      </c>
      <c r="C96" s="27" t="s">
        <v>91</v>
      </c>
    </row>
    <row r="97" spans="1:3" x14ac:dyDescent="0.35">
      <c r="A97" s="27" t="s">
        <v>88</v>
      </c>
      <c r="B97" s="27" t="s">
        <v>92</v>
      </c>
      <c r="C97" s="27" t="s">
        <v>93</v>
      </c>
    </row>
    <row r="98" spans="1:3" x14ac:dyDescent="0.35">
      <c r="A98" s="27" t="s">
        <v>88</v>
      </c>
      <c r="B98" s="27" t="s">
        <v>94</v>
      </c>
      <c r="C98" s="27" t="s">
        <v>91</v>
      </c>
    </row>
    <row r="99" spans="1:3" x14ac:dyDescent="0.35">
      <c r="A99" s="27" t="s">
        <v>391</v>
      </c>
      <c r="B99" s="27" t="s">
        <v>47</v>
      </c>
      <c r="C99" s="27" t="s">
        <v>48</v>
      </c>
    </row>
    <row r="100" spans="1:3" x14ac:dyDescent="0.35">
      <c r="A100" s="27" t="s">
        <v>391</v>
      </c>
      <c r="B100" s="27" t="s">
        <v>81</v>
      </c>
      <c r="C100" s="27" t="s">
        <v>135</v>
      </c>
    </row>
    <row r="101" spans="1:3" x14ac:dyDescent="0.35">
      <c r="A101" s="27" t="s">
        <v>136</v>
      </c>
      <c r="B101" s="27" t="s">
        <v>32</v>
      </c>
      <c r="C101" s="27" t="s">
        <v>137</v>
      </c>
    </row>
    <row r="102" spans="1:3" x14ac:dyDescent="0.35">
      <c r="A102" s="27" t="s">
        <v>392</v>
      </c>
      <c r="B102" s="27" t="s">
        <v>142</v>
      </c>
      <c r="C102" s="27" t="s">
        <v>143</v>
      </c>
    </row>
    <row r="103" spans="1:3" x14ac:dyDescent="0.35">
      <c r="A103" s="27" t="s">
        <v>393</v>
      </c>
      <c r="B103" s="27" t="s">
        <v>80</v>
      </c>
      <c r="C103" s="27" t="s">
        <v>37</v>
      </c>
    </row>
    <row r="104" spans="1:3" x14ac:dyDescent="0.35">
      <c r="A104" s="27" t="s">
        <v>144</v>
      </c>
      <c r="B104" s="27" t="s">
        <v>32</v>
      </c>
      <c r="C104" s="27" t="s">
        <v>145</v>
      </c>
    </row>
    <row r="105" spans="1:3" x14ac:dyDescent="0.35">
      <c r="A105" s="27" t="s">
        <v>144</v>
      </c>
      <c r="B105" s="27" t="s">
        <v>146</v>
      </c>
      <c r="C105" s="27" t="s">
        <v>145</v>
      </c>
    </row>
    <row r="106" spans="1:3" x14ac:dyDescent="0.35">
      <c r="A106" s="27" t="s">
        <v>394</v>
      </c>
      <c r="B106" s="27" t="s">
        <v>24</v>
      </c>
      <c r="C106" s="27" t="s">
        <v>360</v>
      </c>
    </row>
    <row r="107" spans="1:3" x14ac:dyDescent="0.35">
      <c r="A107" s="27" t="s">
        <v>394</v>
      </c>
      <c r="B107" s="27" t="s">
        <v>24</v>
      </c>
      <c r="C107" s="27" t="s">
        <v>360</v>
      </c>
    </row>
    <row r="108" spans="1:3" x14ac:dyDescent="0.35">
      <c r="A108" s="27" t="s">
        <v>179</v>
      </c>
      <c r="B108" s="27" t="s">
        <v>71</v>
      </c>
      <c r="C108" s="27" t="s">
        <v>180</v>
      </c>
    </row>
    <row r="109" spans="1:3" x14ac:dyDescent="0.35">
      <c r="A109" s="27" t="s">
        <v>157</v>
      </c>
      <c r="B109" s="27" t="s">
        <v>109</v>
      </c>
      <c r="C109" s="27" t="s">
        <v>158</v>
      </c>
    </row>
    <row r="110" spans="1:3" x14ac:dyDescent="0.35">
      <c r="A110" s="27" t="s">
        <v>395</v>
      </c>
      <c r="B110" s="27" t="s">
        <v>32</v>
      </c>
      <c r="C110" s="27" t="s">
        <v>360</v>
      </c>
    </row>
    <row r="111" spans="1:3" x14ac:dyDescent="0.35">
      <c r="A111" s="27" t="s">
        <v>395</v>
      </c>
      <c r="B111" s="27" t="s">
        <v>32</v>
      </c>
      <c r="C111" s="27" t="s">
        <v>360</v>
      </c>
    </row>
    <row r="112" spans="1:3" x14ac:dyDescent="0.35">
      <c r="A112" s="27" t="s">
        <v>172</v>
      </c>
      <c r="B112" s="27" t="s">
        <v>32</v>
      </c>
      <c r="C112" s="27" t="s">
        <v>84</v>
      </c>
    </row>
    <row r="113" spans="1:3" x14ac:dyDescent="0.35">
      <c r="A113" s="27" t="s">
        <v>396</v>
      </c>
      <c r="B113" s="27" t="s">
        <v>81</v>
      </c>
      <c r="C113" s="27" t="s">
        <v>84</v>
      </c>
    </row>
    <row r="114" spans="1:3" x14ac:dyDescent="0.35">
      <c r="A114" s="27" t="s">
        <v>174</v>
      </c>
      <c r="B114" s="27" t="s">
        <v>80</v>
      </c>
      <c r="C114" s="27" t="s">
        <v>84</v>
      </c>
    </row>
    <row r="115" spans="1:3" x14ac:dyDescent="0.35">
      <c r="A115" s="27" t="s">
        <v>175</v>
      </c>
      <c r="B115" s="27" t="s">
        <v>71</v>
      </c>
      <c r="C115" s="27" t="s">
        <v>37</v>
      </c>
    </row>
    <row r="116" spans="1:3" x14ac:dyDescent="0.35">
      <c r="A116" s="27" t="s">
        <v>176</v>
      </c>
      <c r="B116" s="27" t="s">
        <v>351</v>
      </c>
      <c r="C116" s="27" t="s">
        <v>84</v>
      </c>
    </row>
    <row r="117" spans="1:3" x14ac:dyDescent="0.35">
      <c r="A117" s="27" t="s">
        <v>51</v>
      </c>
      <c r="B117" s="27" t="s">
        <v>347</v>
      </c>
      <c r="C117" s="27" t="s">
        <v>48</v>
      </c>
    </row>
    <row r="118" spans="1:3" x14ac:dyDescent="0.35">
      <c r="A118" s="27" t="s">
        <v>76</v>
      </c>
      <c r="B118" s="27" t="s">
        <v>77</v>
      </c>
      <c r="C118" s="27" t="s">
        <v>78</v>
      </c>
    </row>
    <row r="119" spans="1:3" x14ac:dyDescent="0.35">
      <c r="A119" s="27" t="s">
        <v>82</v>
      </c>
      <c r="B119" s="27" t="s">
        <v>83</v>
      </c>
      <c r="C119" s="27" t="s">
        <v>84</v>
      </c>
    </row>
    <row r="120" spans="1:3" x14ac:dyDescent="0.35">
      <c r="A120" s="27" t="s">
        <v>82</v>
      </c>
      <c r="B120" s="27" t="s">
        <v>81</v>
      </c>
      <c r="C120" s="27" t="s">
        <v>37</v>
      </c>
    </row>
    <row r="121" spans="1:3" x14ac:dyDescent="0.35">
      <c r="A121" s="27" t="s">
        <v>82</v>
      </c>
      <c r="B121" s="27" t="s">
        <v>85</v>
      </c>
      <c r="C121" s="27" t="s">
        <v>30</v>
      </c>
    </row>
    <row r="122" spans="1:3" x14ac:dyDescent="0.35">
      <c r="A122" s="27" t="s">
        <v>249</v>
      </c>
      <c r="B122" s="27" t="s">
        <v>250</v>
      </c>
      <c r="C122" s="27" t="s">
        <v>48</v>
      </c>
    </row>
    <row r="123" spans="1:3" x14ac:dyDescent="0.35">
      <c r="A123" s="27" t="s">
        <v>257</v>
      </c>
      <c r="B123" s="27" t="s">
        <v>32</v>
      </c>
      <c r="C123" s="27" t="s">
        <v>37</v>
      </c>
    </row>
    <row r="124" spans="1:3" x14ac:dyDescent="0.35">
      <c r="A124" s="27" t="s">
        <v>257</v>
      </c>
      <c r="B124" s="27" t="s">
        <v>81</v>
      </c>
      <c r="C124" s="27" t="s">
        <v>256</v>
      </c>
    </row>
    <row r="125" spans="1:3" x14ac:dyDescent="0.35">
      <c r="A125" s="27" t="s">
        <v>257</v>
      </c>
      <c r="B125" s="27" t="s">
        <v>24</v>
      </c>
      <c r="C125" s="27" t="s">
        <v>37</v>
      </c>
    </row>
    <row r="126" spans="1:3" x14ac:dyDescent="0.35">
      <c r="A126" s="27" t="s">
        <v>257</v>
      </c>
      <c r="B126" s="27" t="s">
        <v>255</v>
      </c>
      <c r="C126" s="27" t="s">
        <v>256</v>
      </c>
    </row>
    <row r="127" spans="1:3" x14ac:dyDescent="0.35">
      <c r="A127" s="27" t="s">
        <v>115</v>
      </c>
      <c r="B127" s="27" t="s">
        <v>71</v>
      </c>
      <c r="C127" s="27" t="s">
        <v>114</v>
      </c>
    </row>
    <row r="128" spans="1:3" x14ac:dyDescent="0.35">
      <c r="A128" s="27" t="s">
        <v>286</v>
      </c>
      <c r="B128" s="27" t="s">
        <v>83</v>
      </c>
      <c r="C128" s="27" t="s">
        <v>360</v>
      </c>
    </row>
    <row r="129" spans="1:3" x14ac:dyDescent="0.35">
      <c r="A129" s="27" t="s">
        <v>177</v>
      </c>
      <c r="B129" s="27" t="s">
        <v>47</v>
      </c>
      <c r="C129" s="27" t="s">
        <v>48</v>
      </c>
    </row>
    <row r="130" spans="1:3" x14ac:dyDescent="0.35">
      <c r="A130" s="27" t="s">
        <v>397</v>
      </c>
      <c r="B130" s="27" t="s">
        <v>398</v>
      </c>
      <c r="C130" s="27" t="s">
        <v>399</v>
      </c>
    </row>
    <row r="131" spans="1:3" x14ac:dyDescent="0.35">
      <c r="A131" s="27" t="s">
        <v>397</v>
      </c>
      <c r="B131" s="27" t="s">
        <v>178</v>
      </c>
      <c r="C131" s="27" t="s">
        <v>74</v>
      </c>
    </row>
    <row r="132" spans="1:3" x14ac:dyDescent="0.35">
      <c r="A132" s="27" t="s">
        <v>400</v>
      </c>
      <c r="B132" s="27" t="s">
        <v>186</v>
      </c>
      <c r="C132" s="27" t="s">
        <v>84</v>
      </c>
    </row>
    <row r="133" spans="1:3" x14ac:dyDescent="0.35">
      <c r="A133" s="27" t="s">
        <v>187</v>
      </c>
      <c r="B133" s="27" t="s">
        <v>71</v>
      </c>
      <c r="C133" s="27" t="s">
        <v>37</v>
      </c>
    </row>
    <row r="134" spans="1:3" x14ac:dyDescent="0.35">
      <c r="A134" s="27" t="s">
        <v>140</v>
      </c>
      <c r="B134" s="27" t="s">
        <v>24</v>
      </c>
      <c r="C134" s="27" t="s">
        <v>141</v>
      </c>
    </row>
    <row r="135" spans="1:3" x14ac:dyDescent="0.35">
      <c r="A135" s="27" t="s">
        <v>128</v>
      </c>
      <c r="B135" s="27" t="s">
        <v>24</v>
      </c>
      <c r="C135" s="27" t="s">
        <v>25</v>
      </c>
    </row>
    <row r="136" spans="1:3" x14ac:dyDescent="0.35">
      <c r="A136" s="27" t="s">
        <v>239</v>
      </c>
      <c r="B136" s="27" t="s">
        <v>71</v>
      </c>
      <c r="C136" s="27" t="s">
        <v>360</v>
      </c>
    </row>
    <row r="137" spans="1:3" x14ac:dyDescent="0.35">
      <c r="A137" s="27" t="s">
        <v>194</v>
      </c>
      <c r="B137" s="27" t="s">
        <v>32</v>
      </c>
      <c r="C137" s="27" t="s">
        <v>360</v>
      </c>
    </row>
    <row r="138" spans="1:3" x14ac:dyDescent="0.35">
      <c r="A138" s="27" t="s">
        <v>194</v>
      </c>
      <c r="B138" s="27" t="s">
        <v>32</v>
      </c>
      <c r="C138" s="27" t="s">
        <v>360</v>
      </c>
    </row>
    <row r="139" spans="1:3" x14ac:dyDescent="0.35">
      <c r="A139" s="27" t="s">
        <v>194</v>
      </c>
      <c r="B139" s="27" t="s">
        <v>32</v>
      </c>
      <c r="C139" s="27" t="s">
        <v>360</v>
      </c>
    </row>
    <row r="140" spans="1:3" x14ac:dyDescent="0.35">
      <c r="A140" s="27" t="s">
        <v>194</v>
      </c>
      <c r="B140" s="27" t="s">
        <v>83</v>
      </c>
      <c r="C140" s="27" t="s">
        <v>360</v>
      </c>
    </row>
    <row r="141" spans="1:3" x14ac:dyDescent="0.35">
      <c r="A141" s="27" t="s">
        <v>194</v>
      </c>
      <c r="B141" s="27" t="s">
        <v>20</v>
      </c>
      <c r="C141" s="27" t="s">
        <v>84</v>
      </c>
    </row>
    <row r="142" spans="1:3" x14ac:dyDescent="0.35">
      <c r="A142" s="27" t="s">
        <v>194</v>
      </c>
      <c r="B142" s="27" t="s">
        <v>20</v>
      </c>
      <c r="C142" s="27" t="s">
        <v>20</v>
      </c>
    </row>
    <row r="143" spans="1:3" x14ac:dyDescent="0.35">
      <c r="A143" s="27" t="s">
        <v>401</v>
      </c>
      <c r="B143" s="27" t="s">
        <v>81</v>
      </c>
      <c r="C143" s="27" t="s">
        <v>363</v>
      </c>
    </row>
    <row r="144" spans="1:3" x14ac:dyDescent="0.35">
      <c r="A144" s="27" t="s">
        <v>66</v>
      </c>
      <c r="B144" s="27" t="s">
        <v>47</v>
      </c>
      <c r="C144" s="27" t="s">
        <v>48</v>
      </c>
    </row>
    <row r="145" spans="1:3" x14ac:dyDescent="0.35">
      <c r="A145" s="27" t="s">
        <v>66</v>
      </c>
      <c r="B145" s="27" t="s">
        <v>65</v>
      </c>
      <c r="C145" s="27" t="s">
        <v>48</v>
      </c>
    </row>
    <row r="146" spans="1:3" x14ac:dyDescent="0.35">
      <c r="A146" s="27" t="s">
        <v>108</v>
      </c>
      <c r="B146" s="27" t="s">
        <v>109</v>
      </c>
      <c r="C146" s="27" t="s">
        <v>110</v>
      </c>
    </row>
    <row r="147" spans="1:3" x14ac:dyDescent="0.35">
      <c r="A147" s="27" t="s">
        <v>125</v>
      </c>
      <c r="B147" s="27" t="s">
        <v>126</v>
      </c>
      <c r="C147" s="27" t="s">
        <v>127</v>
      </c>
    </row>
    <row r="148" spans="1:3" x14ac:dyDescent="0.35">
      <c r="A148" s="27" t="s">
        <v>188</v>
      </c>
      <c r="B148" s="27" t="s">
        <v>71</v>
      </c>
      <c r="C148" s="27" t="s">
        <v>189</v>
      </c>
    </row>
    <row r="149" spans="1:3" x14ac:dyDescent="0.35">
      <c r="A149" s="27" t="s">
        <v>188</v>
      </c>
      <c r="B149" s="27" t="s">
        <v>190</v>
      </c>
      <c r="C149" s="27" t="s">
        <v>191</v>
      </c>
    </row>
    <row r="150" spans="1:3" x14ac:dyDescent="0.35">
      <c r="A150" s="27" t="s">
        <v>188</v>
      </c>
      <c r="B150" s="27" t="s">
        <v>192</v>
      </c>
      <c r="C150" s="27" t="s">
        <v>193</v>
      </c>
    </row>
    <row r="151" spans="1:3" x14ac:dyDescent="0.35">
      <c r="A151" s="27" t="s">
        <v>272</v>
      </c>
      <c r="B151" s="27" t="s">
        <v>24</v>
      </c>
      <c r="C151" s="27" t="s">
        <v>84</v>
      </c>
    </row>
    <row r="152" spans="1:3" x14ac:dyDescent="0.35">
      <c r="A152" s="27" t="s">
        <v>285</v>
      </c>
      <c r="B152" s="27" t="s">
        <v>109</v>
      </c>
      <c r="C152" s="27" t="s">
        <v>37</v>
      </c>
    </row>
    <row r="153" spans="1:3" x14ac:dyDescent="0.35">
      <c r="A153" s="27" t="s">
        <v>285</v>
      </c>
      <c r="B153" s="27" t="s">
        <v>80</v>
      </c>
      <c r="C153" s="27" t="s">
        <v>84</v>
      </c>
    </row>
    <row r="154" spans="1:3" x14ac:dyDescent="0.35">
      <c r="A154" s="27" t="s">
        <v>326</v>
      </c>
      <c r="B154" s="27" t="s">
        <v>350</v>
      </c>
      <c r="C154" s="27" t="s">
        <v>327</v>
      </c>
    </row>
    <row r="155" spans="1:3" x14ac:dyDescent="0.35">
      <c r="A155" s="27" t="s">
        <v>326</v>
      </c>
      <c r="B155" s="27" t="s">
        <v>81</v>
      </c>
      <c r="C155" s="27" t="s">
        <v>324</v>
      </c>
    </row>
    <row r="156" spans="1:3" x14ac:dyDescent="0.35">
      <c r="A156" s="27" t="s">
        <v>64</v>
      </c>
      <c r="B156" s="27" t="s">
        <v>47</v>
      </c>
      <c r="C156" s="27" t="s">
        <v>48</v>
      </c>
    </row>
    <row r="157" spans="1:3" x14ac:dyDescent="0.35">
      <c r="A157" s="27" t="s">
        <v>64</v>
      </c>
      <c r="B157" s="27" t="s">
        <v>65</v>
      </c>
      <c r="C157" s="27" t="s">
        <v>48</v>
      </c>
    </row>
    <row r="158" spans="1:3" x14ac:dyDescent="0.35">
      <c r="A158" s="27" t="s">
        <v>201</v>
      </c>
      <c r="B158" s="27" t="s">
        <v>202</v>
      </c>
      <c r="C158" s="27" t="s">
        <v>203</v>
      </c>
    </row>
    <row r="159" spans="1:3" x14ac:dyDescent="0.35">
      <c r="A159" s="27" t="s">
        <v>201</v>
      </c>
      <c r="B159" s="27" t="s">
        <v>85</v>
      </c>
      <c r="C159" s="27" t="s">
        <v>364</v>
      </c>
    </row>
    <row r="160" spans="1:3" x14ac:dyDescent="0.35">
      <c r="A160" s="27" t="s">
        <v>259</v>
      </c>
      <c r="B160" s="27" t="s">
        <v>24</v>
      </c>
      <c r="C160" s="27" t="s">
        <v>254</v>
      </c>
    </row>
    <row r="161" spans="1:3" x14ac:dyDescent="0.35">
      <c r="A161" s="27" t="s">
        <v>97</v>
      </c>
      <c r="B161" s="27" t="s">
        <v>98</v>
      </c>
      <c r="C161" s="27" t="s">
        <v>99</v>
      </c>
    </row>
    <row r="162" spans="1:3" x14ac:dyDescent="0.35">
      <c r="A162" s="27" t="s">
        <v>97</v>
      </c>
      <c r="B162" s="27" t="s">
        <v>100</v>
      </c>
      <c r="C162" s="27" t="s">
        <v>99</v>
      </c>
    </row>
    <row r="163" spans="1:3" x14ac:dyDescent="0.35">
      <c r="A163" s="27" t="s">
        <v>166</v>
      </c>
      <c r="B163" s="27" t="s">
        <v>75</v>
      </c>
      <c r="C163" s="27" t="s">
        <v>167</v>
      </c>
    </row>
    <row r="164" spans="1:3" x14ac:dyDescent="0.35">
      <c r="A164" s="27" t="s">
        <v>228</v>
      </c>
      <c r="B164" s="27" t="s">
        <v>229</v>
      </c>
      <c r="C164" s="27" t="s">
        <v>48</v>
      </c>
    </row>
    <row r="165" spans="1:3" x14ac:dyDescent="0.35">
      <c r="A165" s="27" t="s">
        <v>233</v>
      </c>
      <c r="B165" s="27" t="s">
        <v>229</v>
      </c>
      <c r="C165" s="27" t="s">
        <v>48</v>
      </c>
    </row>
    <row r="166" spans="1:3" x14ac:dyDescent="0.35">
      <c r="A166" s="27" t="s">
        <v>258</v>
      </c>
      <c r="B166" s="27" t="s">
        <v>24</v>
      </c>
      <c r="C166" s="27" t="s">
        <v>254</v>
      </c>
    </row>
    <row r="167" spans="1:3" x14ac:dyDescent="0.35">
      <c r="A167" s="27" t="s">
        <v>195</v>
      </c>
      <c r="B167" s="27" t="s">
        <v>196</v>
      </c>
      <c r="C167" s="27" t="s">
        <v>197</v>
      </c>
    </row>
    <row r="168" spans="1:3" x14ac:dyDescent="0.35">
      <c r="A168" s="27" t="s">
        <v>320</v>
      </c>
      <c r="B168" s="27" t="s">
        <v>75</v>
      </c>
      <c r="C168" s="27" t="s">
        <v>321</v>
      </c>
    </row>
    <row r="169" spans="1:3" x14ac:dyDescent="0.35">
      <c r="A169" s="27" t="s">
        <v>339</v>
      </c>
      <c r="B169" s="27" t="s">
        <v>336</v>
      </c>
      <c r="C169" s="27" t="s">
        <v>333</v>
      </c>
    </row>
    <row r="170" spans="1:3" x14ac:dyDescent="0.35">
      <c r="A170" s="27" t="s">
        <v>339</v>
      </c>
      <c r="B170" s="27" t="s">
        <v>340</v>
      </c>
      <c r="C170" s="27" t="s">
        <v>341</v>
      </c>
    </row>
    <row r="171" spans="1:3" x14ac:dyDescent="0.35">
      <c r="A171" s="27" t="s">
        <v>204</v>
      </c>
      <c r="B171" s="27" t="s">
        <v>109</v>
      </c>
      <c r="C171" s="27" t="s">
        <v>402</v>
      </c>
    </row>
    <row r="172" spans="1:3" x14ac:dyDescent="0.35">
      <c r="A172" s="27" t="s">
        <v>204</v>
      </c>
      <c r="B172" s="27" t="s">
        <v>71</v>
      </c>
      <c r="C172" s="27" t="s">
        <v>205</v>
      </c>
    </row>
    <row r="173" spans="1:3" x14ac:dyDescent="0.35">
      <c r="A173" s="27" t="s">
        <v>147</v>
      </c>
      <c r="B173" s="27" t="s">
        <v>32</v>
      </c>
      <c r="C173" s="27" t="s">
        <v>365</v>
      </c>
    </row>
    <row r="174" spans="1:3" x14ac:dyDescent="0.35">
      <c r="A174" s="27" t="s">
        <v>147</v>
      </c>
      <c r="B174" s="27" t="s">
        <v>32</v>
      </c>
      <c r="C174" s="27" t="s">
        <v>360</v>
      </c>
    </row>
    <row r="175" spans="1:3" x14ac:dyDescent="0.35">
      <c r="A175" s="27" t="s">
        <v>147</v>
      </c>
      <c r="B175" s="27" t="s">
        <v>208</v>
      </c>
      <c r="C175" s="27" t="s">
        <v>84</v>
      </c>
    </row>
    <row r="176" spans="1:3" x14ac:dyDescent="0.35">
      <c r="A176" s="27" t="s">
        <v>276</v>
      </c>
      <c r="B176" s="27" t="s">
        <v>24</v>
      </c>
      <c r="C176" s="27" t="s">
        <v>277</v>
      </c>
    </row>
    <row r="177" spans="1:3" x14ac:dyDescent="0.35">
      <c r="A177" s="27" t="s">
        <v>210</v>
      </c>
      <c r="B177" s="27" t="s">
        <v>24</v>
      </c>
      <c r="C177" s="27" t="s">
        <v>37</v>
      </c>
    </row>
    <row r="178" spans="1:3" x14ac:dyDescent="0.35">
      <c r="A178" s="27" t="s">
        <v>211</v>
      </c>
      <c r="B178" s="27" t="s">
        <v>212</v>
      </c>
      <c r="C178" s="27" t="s">
        <v>213</v>
      </c>
    </row>
    <row r="179" spans="1:3" x14ac:dyDescent="0.35">
      <c r="A179" s="27" t="s">
        <v>214</v>
      </c>
      <c r="B179" s="27" t="s">
        <v>215</v>
      </c>
      <c r="C179" s="27" t="s">
        <v>215</v>
      </c>
    </row>
    <row r="180" spans="1:3" x14ac:dyDescent="0.35">
      <c r="A180" s="27" t="s">
        <v>403</v>
      </c>
      <c r="B180" s="27" t="s">
        <v>109</v>
      </c>
      <c r="C180" s="27" t="s">
        <v>218</v>
      </c>
    </row>
    <row r="181" spans="1:3" x14ac:dyDescent="0.35">
      <c r="A181" s="27" t="s">
        <v>86</v>
      </c>
      <c r="B181" s="27" t="s">
        <v>83</v>
      </c>
      <c r="C181" s="27" t="s">
        <v>84</v>
      </c>
    </row>
    <row r="182" spans="1:3" x14ac:dyDescent="0.35">
      <c r="A182" s="27" t="s">
        <v>95</v>
      </c>
      <c r="B182" s="27" t="s">
        <v>349</v>
      </c>
      <c r="C182" s="27" t="s">
        <v>360</v>
      </c>
    </row>
    <row r="183" spans="1:3" x14ac:dyDescent="0.35">
      <c r="A183" s="27" t="s">
        <v>200</v>
      </c>
      <c r="B183" s="27" t="s">
        <v>124</v>
      </c>
      <c r="C183" s="27" t="s">
        <v>87</v>
      </c>
    </row>
    <row r="184" spans="1:3" x14ac:dyDescent="0.35">
      <c r="A184" s="27" t="s">
        <v>322</v>
      </c>
      <c r="B184" s="27" t="s">
        <v>81</v>
      </c>
      <c r="C184" s="27" t="s">
        <v>404</v>
      </c>
    </row>
    <row r="185" spans="1:3" x14ac:dyDescent="0.35">
      <c r="A185" s="27" t="s">
        <v>168</v>
      </c>
      <c r="B185" s="27" t="s">
        <v>65</v>
      </c>
      <c r="C185" s="27" t="s">
        <v>48</v>
      </c>
    </row>
    <row r="186" spans="1:3" x14ac:dyDescent="0.35">
      <c r="A186" s="27" t="s">
        <v>405</v>
      </c>
      <c r="B186" s="27" t="s">
        <v>109</v>
      </c>
      <c r="C186" s="27" t="s">
        <v>37</v>
      </c>
    </row>
    <row r="187" spans="1:3" x14ac:dyDescent="0.35">
      <c r="A187" s="27" t="s">
        <v>225</v>
      </c>
      <c r="B187" s="27" t="s">
        <v>109</v>
      </c>
      <c r="C187" s="27" t="s">
        <v>37</v>
      </c>
    </row>
    <row r="188" spans="1:3" x14ac:dyDescent="0.35">
      <c r="A188" s="27" t="s">
        <v>226</v>
      </c>
      <c r="B188" s="27" t="s">
        <v>32</v>
      </c>
      <c r="C188" s="27" t="s">
        <v>360</v>
      </c>
    </row>
    <row r="189" spans="1:3" x14ac:dyDescent="0.35">
      <c r="A189" s="27" t="s">
        <v>226</v>
      </c>
      <c r="B189" s="27" t="s">
        <v>83</v>
      </c>
      <c r="C189" s="27" t="s">
        <v>360</v>
      </c>
    </row>
    <row r="190" spans="1:3" x14ac:dyDescent="0.35">
      <c r="A190" s="27" t="s">
        <v>406</v>
      </c>
      <c r="B190" s="27" t="s">
        <v>227</v>
      </c>
      <c r="C190" s="27" t="s">
        <v>84</v>
      </c>
    </row>
    <row r="191" spans="1:3" x14ac:dyDescent="0.35">
      <c r="A191" s="27" t="s">
        <v>406</v>
      </c>
      <c r="B191" s="27" t="s">
        <v>71</v>
      </c>
      <c r="C191" s="27" t="s">
        <v>407</v>
      </c>
    </row>
    <row r="192" spans="1:3" x14ac:dyDescent="0.35">
      <c r="A192" s="27" t="s">
        <v>310</v>
      </c>
      <c r="B192" s="27" t="s">
        <v>109</v>
      </c>
      <c r="C192" s="27" t="s">
        <v>311</v>
      </c>
    </row>
    <row r="193" spans="1:3" x14ac:dyDescent="0.35">
      <c r="A193" s="27" t="s">
        <v>310</v>
      </c>
      <c r="B193" s="27" t="s">
        <v>312</v>
      </c>
      <c r="C193" s="27" t="s">
        <v>311</v>
      </c>
    </row>
    <row r="194" spans="1:3" x14ac:dyDescent="0.35">
      <c r="A194" s="27" t="s">
        <v>310</v>
      </c>
      <c r="B194" s="27" t="s">
        <v>71</v>
      </c>
      <c r="C194" s="27" t="s">
        <v>308</v>
      </c>
    </row>
    <row r="195" spans="1:3" x14ac:dyDescent="0.35">
      <c r="A195" s="27" t="s">
        <v>408</v>
      </c>
      <c r="B195" s="27" t="s">
        <v>353</v>
      </c>
      <c r="C195" s="27" t="s">
        <v>234</v>
      </c>
    </row>
    <row r="196" spans="1:3" x14ac:dyDescent="0.35">
      <c r="A196" s="27" t="s">
        <v>408</v>
      </c>
      <c r="B196" s="27" t="s">
        <v>354</v>
      </c>
      <c r="C196" s="27" t="s">
        <v>367</v>
      </c>
    </row>
    <row r="197" spans="1:3" x14ac:dyDescent="0.35">
      <c r="A197" s="27" t="s">
        <v>408</v>
      </c>
      <c r="B197" s="27" t="s">
        <v>235</v>
      </c>
      <c r="C197" s="27" t="s">
        <v>185</v>
      </c>
    </row>
    <row r="198" spans="1:3" x14ac:dyDescent="0.35">
      <c r="A198" s="27" t="s">
        <v>236</v>
      </c>
      <c r="B198" s="27" t="s">
        <v>235</v>
      </c>
      <c r="C198" s="27" t="s">
        <v>185</v>
      </c>
    </row>
    <row r="199" spans="1:3" x14ac:dyDescent="0.35">
      <c r="A199" s="27" t="s">
        <v>236</v>
      </c>
      <c r="B199" s="27" t="s">
        <v>235</v>
      </c>
      <c r="C199" s="27" t="s">
        <v>237</v>
      </c>
    </row>
    <row r="200" spans="1:3" x14ac:dyDescent="0.35">
      <c r="A200" s="27" t="s">
        <v>236</v>
      </c>
      <c r="B200" s="27" t="s">
        <v>235</v>
      </c>
      <c r="C200" s="27" t="s">
        <v>238</v>
      </c>
    </row>
    <row r="201" spans="1:3" x14ac:dyDescent="0.35">
      <c r="A201" s="27" t="s">
        <v>120</v>
      </c>
      <c r="B201" s="27" t="s">
        <v>47</v>
      </c>
      <c r="C201" s="27" t="s">
        <v>48</v>
      </c>
    </row>
    <row r="202" spans="1:3" x14ac:dyDescent="0.35">
      <c r="A202" s="27" t="s">
        <v>129</v>
      </c>
      <c r="B202" s="27" t="s">
        <v>24</v>
      </c>
      <c r="C202" s="27" t="s">
        <v>25</v>
      </c>
    </row>
    <row r="203" spans="1:3" x14ac:dyDescent="0.35">
      <c r="A203" s="27" t="s">
        <v>129</v>
      </c>
      <c r="B203" s="27" t="s">
        <v>24</v>
      </c>
      <c r="C203" s="27" t="s">
        <v>25</v>
      </c>
    </row>
    <row r="204" spans="1:3" x14ac:dyDescent="0.35">
      <c r="A204" s="27" t="s">
        <v>131</v>
      </c>
      <c r="B204" s="27" t="s">
        <v>32</v>
      </c>
      <c r="C204" s="27" t="s">
        <v>360</v>
      </c>
    </row>
    <row r="205" spans="1:3" x14ac:dyDescent="0.35">
      <c r="A205" s="27" t="s">
        <v>184</v>
      </c>
      <c r="B205" s="27" t="s">
        <v>58</v>
      </c>
      <c r="C205" s="27" t="s">
        <v>87</v>
      </c>
    </row>
    <row r="206" spans="1:3" x14ac:dyDescent="0.35">
      <c r="A206" s="27" t="s">
        <v>209</v>
      </c>
      <c r="B206" s="27" t="s">
        <v>71</v>
      </c>
      <c r="C206" s="27" t="s">
        <v>37</v>
      </c>
    </row>
    <row r="207" spans="1:3" x14ac:dyDescent="0.35">
      <c r="A207" s="27" t="s">
        <v>274</v>
      </c>
      <c r="B207" s="27" t="s">
        <v>356</v>
      </c>
      <c r="C207" s="27" t="s">
        <v>37</v>
      </c>
    </row>
    <row r="208" spans="1:3" x14ac:dyDescent="0.35">
      <c r="A208" s="27" t="s">
        <v>274</v>
      </c>
      <c r="B208" s="27" t="s">
        <v>32</v>
      </c>
      <c r="C208" s="27" t="s">
        <v>37</v>
      </c>
    </row>
    <row r="209" spans="1:3" x14ac:dyDescent="0.35">
      <c r="A209" s="27" t="s">
        <v>274</v>
      </c>
      <c r="B209" s="27" t="s">
        <v>32</v>
      </c>
      <c r="C209" s="27" t="s">
        <v>275</v>
      </c>
    </row>
    <row r="210" spans="1:3" x14ac:dyDescent="0.35">
      <c r="A210" s="27" t="s">
        <v>63</v>
      </c>
      <c r="B210" s="27" t="s">
        <v>58</v>
      </c>
      <c r="C210" s="27" t="s">
        <v>62</v>
      </c>
    </row>
    <row r="211" spans="1:3" x14ac:dyDescent="0.35">
      <c r="A211" s="27" t="s">
        <v>67</v>
      </c>
      <c r="B211" s="27" t="s">
        <v>47</v>
      </c>
      <c r="C211" s="27" t="s">
        <v>48</v>
      </c>
    </row>
    <row r="212" spans="1:3" x14ac:dyDescent="0.35">
      <c r="A212" s="27" t="s">
        <v>246</v>
      </c>
      <c r="B212" s="27" t="s">
        <v>47</v>
      </c>
      <c r="C212" s="27" t="s">
        <v>48</v>
      </c>
    </row>
    <row r="213" spans="1:3" x14ac:dyDescent="0.35">
      <c r="A213" s="27" t="s">
        <v>331</v>
      </c>
      <c r="B213" s="27" t="s">
        <v>332</v>
      </c>
      <c r="C213" s="27" t="s">
        <v>333</v>
      </c>
    </row>
    <row r="214" spans="1:3" x14ac:dyDescent="0.35">
      <c r="A214" s="27" t="s">
        <v>342</v>
      </c>
      <c r="B214" s="27" t="s">
        <v>336</v>
      </c>
      <c r="C214" s="27" t="s">
        <v>333</v>
      </c>
    </row>
    <row r="215" spans="1:3" x14ac:dyDescent="0.35">
      <c r="A215" s="27" t="s">
        <v>342</v>
      </c>
      <c r="B215" s="27" t="s">
        <v>334</v>
      </c>
      <c r="C215" s="27" t="s">
        <v>333</v>
      </c>
    </row>
    <row r="216" spans="1:3" x14ac:dyDescent="0.35">
      <c r="A216" s="27" t="s">
        <v>206</v>
      </c>
      <c r="B216" s="27" t="s">
        <v>207</v>
      </c>
      <c r="C216" s="27" t="s">
        <v>25</v>
      </c>
    </row>
    <row r="217" spans="1:3" x14ac:dyDescent="0.35">
      <c r="A217" s="27" t="s">
        <v>409</v>
      </c>
      <c r="B217" s="27" t="s">
        <v>71</v>
      </c>
      <c r="C217" s="27" t="s">
        <v>243</v>
      </c>
    </row>
    <row r="218" spans="1:3" x14ac:dyDescent="0.35">
      <c r="A218" s="27" t="s">
        <v>343</v>
      </c>
      <c r="B218" s="27" t="s">
        <v>338</v>
      </c>
      <c r="C218" s="27" t="s">
        <v>333</v>
      </c>
    </row>
    <row r="219" spans="1:3" x14ac:dyDescent="0.35">
      <c r="A219" s="27" t="s">
        <v>244</v>
      </c>
      <c r="B219" s="27" t="s">
        <v>245</v>
      </c>
      <c r="C219" s="27" t="s">
        <v>37</v>
      </c>
    </row>
    <row r="220" spans="1:3" x14ac:dyDescent="0.35">
      <c r="A220" s="27" t="s">
        <v>318</v>
      </c>
      <c r="B220" s="27" t="s">
        <v>319</v>
      </c>
      <c r="C220" s="27" t="s">
        <v>78</v>
      </c>
    </row>
    <row r="221" spans="1:3" x14ac:dyDescent="0.35">
      <c r="A221" s="27" t="s">
        <v>247</v>
      </c>
      <c r="B221" s="27" t="s">
        <v>20</v>
      </c>
      <c r="C221" s="27" t="s">
        <v>248</v>
      </c>
    </row>
    <row r="222" spans="1:3" x14ac:dyDescent="0.35">
      <c r="A222" s="27" t="s">
        <v>101</v>
      </c>
      <c r="B222" s="27" t="s">
        <v>98</v>
      </c>
      <c r="C222" s="27" t="s">
        <v>102</v>
      </c>
    </row>
    <row r="223" spans="1:3" x14ac:dyDescent="0.35">
      <c r="A223" s="27" t="s">
        <v>242</v>
      </c>
      <c r="B223" s="27" t="s">
        <v>71</v>
      </c>
      <c r="C223" s="27" t="s">
        <v>114</v>
      </c>
    </row>
    <row r="224" spans="1:3" x14ac:dyDescent="0.35">
      <c r="A224" s="27" t="s">
        <v>251</v>
      </c>
      <c r="B224" s="27" t="s">
        <v>350</v>
      </c>
      <c r="C224" s="27" t="s">
        <v>252</v>
      </c>
    </row>
    <row r="225" spans="1:3" x14ac:dyDescent="0.35">
      <c r="A225" s="27" t="s">
        <v>410</v>
      </c>
      <c r="B225" s="27" t="s">
        <v>32</v>
      </c>
      <c r="C225" s="27" t="s">
        <v>253</v>
      </c>
    </row>
    <row r="226" spans="1:3" x14ac:dyDescent="0.35">
      <c r="A226" s="27" t="s">
        <v>411</v>
      </c>
      <c r="B226" s="27" t="s">
        <v>32</v>
      </c>
      <c r="C226" s="27" t="s">
        <v>25</v>
      </c>
    </row>
    <row r="227" spans="1:3" x14ac:dyDescent="0.35">
      <c r="A227" s="27" t="s">
        <v>411</v>
      </c>
      <c r="B227" s="27" t="s">
        <v>81</v>
      </c>
      <c r="C227" s="27" t="s">
        <v>254</v>
      </c>
    </row>
    <row r="228" spans="1:3" x14ac:dyDescent="0.35">
      <c r="A228" s="27" t="s">
        <v>411</v>
      </c>
      <c r="B228" s="27" t="s">
        <v>255</v>
      </c>
      <c r="C228" s="27" t="s">
        <v>256</v>
      </c>
    </row>
    <row r="229" spans="1:3" x14ac:dyDescent="0.35">
      <c r="A229" s="27" t="s">
        <v>260</v>
      </c>
      <c r="B229" s="27" t="s">
        <v>32</v>
      </c>
      <c r="C229" s="27" t="s">
        <v>261</v>
      </c>
    </row>
    <row r="230" spans="1:3" x14ac:dyDescent="0.35">
      <c r="A230" s="27" t="s">
        <v>412</v>
      </c>
      <c r="B230" s="27" t="s">
        <v>24</v>
      </c>
      <c r="C230" s="27" t="s">
        <v>37</v>
      </c>
    </row>
    <row r="231" spans="1:3" x14ac:dyDescent="0.35">
      <c r="A231" s="27" t="s">
        <v>412</v>
      </c>
      <c r="B231" s="27" t="s">
        <v>262</v>
      </c>
      <c r="C231" s="27" t="s">
        <v>263</v>
      </c>
    </row>
    <row r="232" spans="1:3" x14ac:dyDescent="0.35">
      <c r="A232" s="27" t="s">
        <v>264</v>
      </c>
      <c r="B232" s="27" t="s">
        <v>265</v>
      </c>
      <c r="C232" s="27" t="s">
        <v>368</v>
      </c>
    </row>
    <row r="233" spans="1:3" x14ac:dyDescent="0.35">
      <c r="A233" s="27" t="s">
        <v>266</v>
      </c>
      <c r="B233" s="27" t="s">
        <v>32</v>
      </c>
      <c r="C233" s="27" t="s">
        <v>84</v>
      </c>
    </row>
    <row r="234" spans="1:3" x14ac:dyDescent="0.35">
      <c r="A234" s="27" t="s">
        <v>33</v>
      </c>
      <c r="B234" s="27" t="s">
        <v>34</v>
      </c>
      <c r="C234" s="27" t="s">
        <v>35</v>
      </c>
    </row>
    <row r="235" spans="1:3" x14ac:dyDescent="0.35">
      <c r="A235" s="27" t="s">
        <v>33</v>
      </c>
      <c r="B235" s="27" t="s">
        <v>36</v>
      </c>
      <c r="C235" s="27" t="s">
        <v>37</v>
      </c>
    </row>
    <row r="236" spans="1:3" x14ac:dyDescent="0.35">
      <c r="A236" s="27" t="s">
        <v>68</v>
      </c>
      <c r="B236" s="27" t="s">
        <v>47</v>
      </c>
      <c r="C236" s="27" t="s">
        <v>48</v>
      </c>
    </row>
    <row r="237" spans="1:3" x14ac:dyDescent="0.35">
      <c r="A237" s="27" t="s">
        <v>413</v>
      </c>
      <c r="B237" s="27" t="s">
        <v>32</v>
      </c>
      <c r="C237" s="27" t="s">
        <v>414</v>
      </c>
    </row>
    <row r="238" spans="1:3" x14ac:dyDescent="0.35">
      <c r="A238" s="27" t="s">
        <v>269</v>
      </c>
      <c r="B238" s="27" t="s">
        <v>32</v>
      </c>
      <c r="C238" s="27" t="s">
        <v>84</v>
      </c>
    </row>
    <row r="239" spans="1:3" x14ac:dyDescent="0.35">
      <c r="A239" s="27" t="s">
        <v>269</v>
      </c>
      <c r="B239" s="27" t="s">
        <v>32</v>
      </c>
      <c r="C239" s="27" t="s">
        <v>270</v>
      </c>
    </row>
    <row r="240" spans="1:3" x14ac:dyDescent="0.35">
      <c r="A240" s="27" t="s">
        <v>269</v>
      </c>
      <c r="B240" s="27" t="s">
        <v>24</v>
      </c>
      <c r="C240" s="27" t="s">
        <v>84</v>
      </c>
    </row>
    <row r="241" spans="1:3" x14ac:dyDescent="0.35">
      <c r="A241" s="27" t="s">
        <v>273</v>
      </c>
      <c r="B241" s="27" t="s">
        <v>355</v>
      </c>
      <c r="C241" s="27" t="s">
        <v>37</v>
      </c>
    </row>
    <row r="242" spans="1:3" x14ac:dyDescent="0.35">
      <c r="A242" s="27" t="s">
        <v>273</v>
      </c>
      <c r="B242" s="27" t="s">
        <v>356</v>
      </c>
      <c r="C242" s="27" t="s">
        <v>37</v>
      </c>
    </row>
    <row r="243" spans="1:3" x14ac:dyDescent="0.35">
      <c r="A243" s="27" t="s">
        <v>273</v>
      </c>
      <c r="B243" s="27" t="s">
        <v>81</v>
      </c>
      <c r="C243" s="27" t="s">
        <v>180</v>
      </c>
    </row>
    <row r="244" spans="1:3" x14ac:dyDescent="0.35">
      <c r="A244" s="27" t="s">
        <v>415</v>
      </c>
      <c r="B244" s="27" t="s">
        <v>32</v>
      </c>
      <c r="C244" s="27" t="s">
        <v>37</v>
      </c>
    </row>
    <row r="245" spans="1:3" x14ac:dyDescent="0.35">
      <c r="A245" s="27" t="s">
        <v>154</v>
      </c>
      <c r="B245" s="27" t="s">
        <v>149</v>
      </c>
      <c r="C245" s="27" t="s">
        <v>150</v>
      </c>
    </row>
    <row r="246" spans="1:3" x14ac:dyDescent="0.35">
      <c r="A246" s="27" t="s">
        <v>154</v>
      </c>
      <c r="B246" s="27" t="s">
        <v>155</v>
      </c>
      <c r="C246" s="27" t="s">
        <v>156</v>
      </c>
    </row>
    <row r="247" spans="1:3" x14ac:dyDescent="0.35">
      <c r="A247" s="27" t="s">
        <v>219</v>
      </c>
      <c r="B247" s="27" t="s">
        <v>81</v>
      </c>
      <c r="C247" s="27" t="s">
        <v>84</v>
      </c>
    </row>
    <row r="248" spans="1:3" x14ac:dyDescent="0.35">
      <c r="A248" s="27" t="s">
        <v>323</v>
      </c>
      <c r="C248" s="27" t="s">
        <v>324</v>
      </c>
    </row>
    <row r="249" spans="1:3" x14ac:dyDescent="0.35">
      <c r="A249" s="27" t="s">
        <v>220</v>
      </c>
      <c r="B249" s="27" t="s">
        <v>221</v>
      </c>
      <c r="C249" s="27" t="s">
        <v>222</v>
      </c>
    </row>
    <row r="250" spans="1:3" x14ac:dyDescent="0.35">
      <c r="A250" s="27" t="s">
        <v>220</v>
      </c>
      <c r="B250" s="27" t="s">
        <v>65</v>
      </c>
      <c r="C250" s="27" t="s">
        <v>222</v>
      </c>
    </row>
    <row r="251" spans="1:3" x14ac:dyDescent="0.35">
      <c r="A251" s="27" t="s">
        <v>159</v>
      </c>
      <c r="B251" s="27" t="s">
        <v>160</v>
      </c>
      <c r="C251" s="27" t="s">
        <v>161</v>
      </c>
    </row>
    <row r="252" spans="1:3" x14ac:dyDescent="0.35">
      <c r="A252" s="27" t="s">
        <v>111</v>
      </c>
      <c r="B252" s="27" t="s">
        <v>109</v>
      </c>
      <c r="C252" s="27" t="s">
        <v>110</v>
      </c>
    </row>
    <row r="253" spans="1:3" x14ac:dyDescent="0.35">
      <c r="A253" s="27" t="s">
        <v>278</v>
      </c>
      <c r="B253" s="27" t="s">
        <v>32</v>
      </c>
      <c r="C253" s="27" t="s">
        <v>360</v>
      </c>
    </row>
    <row r="254" spans="1:3" x14ac:dyDescent="0.35">
      <c r="A254" s="27" t="s">
        <v>279</v>
      </c>
      <c r="B254" s="27" t="s">
        <v>280</v>
      </c>
      <c r="C254" s="27" t="s">
        <v>281</v>
      </c>
    </row>
    <row r="255" spans="1:3" x14ac:dyDescent="0.35">
      <c r="A255" s="27" t="s">
        <v>416</v>
      </c>
      <c r="B255" s="27" t="s">
        <v>71</v>
      </c>
      <c r="C255" s="27" t="s">
        <v>37</v>
      </c>
    </row>
    <row r="256" spans="1:3" x14ac:dyDescent="0.35">
      <c r="A256" s="27" t="s">
        <v>282</v>
      </c>
      <c r="B256" s="27" t="s">
        <v>283</v>
      </c>
      <c r="C256" s="27" t="s">
        <v>360</v>
      </c>
    </row>
    <row r="257" spans="1:3" x14ac:dyDescent="0.35">
      <c r="A257" s="27" t="s">
        <v>417</v>
      </c>
      <c r="B257" s="27" t="s">
        <v>32</v>
      </c>
      <c r="C257" s="27" t="s">
        <v>360</v>
      </c>
    </row>
    <row r="258" spans="1:3" x14ac:dyDescent="0.35">
      <c r="A258" s="27" t="s">
        <v>284</v>
      </c>
      <c r="B258" s="27" t="s">
        <v>80</v>
      </c>
      <c r="C258" s="27" t="s">
        <v>37</v>
      </c>
    </row>
    <row r="259" spans="1:3" x14ac:dyDescent="0.35">
      <c r="A259" s="27" t="s">
        <v>284</v>
      </c>
      <c r="B259" s="27" t="s">
        <v>80</v>
      </c>
      <c r="C259" s="27" t="s">
        <v>37</v>
      </c>
    </row>
    <row r="260" spans="1:3" x14ac:dyDescent="0.35">
      <c r="A260" s="27" t="s">
        <v>418</v>
      </c>
      <c r="B260" s="27" t="s">
        <v>32</v>
      </c>
      <c r="C260" s="27" t="s">
        <v>37</v>
      </c>
    </row>
    <row r="261" spans="1:3" x14ac:dyDescent="0.35">
      <c r="A261" s="27" t="s">
        <v>288</v>
      </c>
      <c r="B261" s="27" t="s">
        <v>289</v>
      </c>
      <c r="C261" s="27" t="s">
        <v>48</v>
      </c>
    </row>
    <row r="262" spans="1:3" x14ac:dyDescent="0.35">
      <c r="A262" s="27" t="s">
        <v>290</v>
      </c>
      <c r="B262" s="27" t="s">
        <v>109</v>
      </c>
      <c r="C262" s="27" t="s">
        <v>291</v>
      </c>
    </row>
    <row r="263" spans="1:3" x14ac:dyDescent="0.35">
      <c r="A263" s="27" t="s">
        <v>290</v>
      </c>
      <c r="B263" s="27" t="s">
        <v>292</v>
      </c>
      <c r="C263" s="27" t="s">
        <v>293</v>
      </c>
    </row>
    <row r="264" spans="1:3" x14ac:dyDescent="0.35">
      <c r="A264" s="27" t="s">
        <v>294</v>
      </c>
      <c r="B264" s="27" t="s">
        <v>71</v>
      </c>
      <c r="C264" s="27" t="s">
        <v>295</v>
      </c>
    </row>
    <row r="265" spans="1:3" x14ac:dyDescent="0.35">
      <c r="A265" s="27" t="s">
        <v>296</v>
      </c>
      <c r="B265" s="27" t="s">
        <v>32</v>
      </c>
      <c r="C265" s="27" t="s">
        <v>360</v>
      </c>
    </row>
    <row r="266" spans="1:3" x14ac:dyDescent="0.35">
      <c r="A266" s="27" t="s">
        <v>419</v>
      </c>
      <c r="B266" s="27" t="s">
        <v>48</v>
      </c>
      <c r="C266" s="27" t="s">
        <v>297</v>
      </c>
    </row>
    <row r="267" spans="1:3" x14ac:dyDescent="0.35">
      <c r="A267" s="27" t="s">
        <v>419</v>
      </c>
      <c r="B267" s="27" t="s">
        <v>32</v>
      </c>
      <c r="C267" s="27" t="s">
        <v>297</v>
      </c>
    </row>
    <row r="268" spans="1:3" x14ac:dyDescent="0.35">
      <c r="A268" s="27" t="s">
        <v>298</v>
      </c>
      <c r="B268" s="27" t="s">
        <v>83</v>
      </c>
      <c r="C268" s="27" t="s">
        <v>84</v>
      </c>
    </row>
    <row r="269" spans="1:3" x14ac:dyDescent="0.35">
      <c r="A269" s="27" t="s">
        <v>420</v>
      </c>
      <c r="B269" s="27" t="s">
        <v>302</v>
      </c>
      <c r="C269" s="27" t="s">
        <v>303</v>
      </c>
    </row>
    <row r="270" spans="1:3" x14ac:dyDescent="0.35">
      <c r="A270" s="27" t="s">
        <v>96</v>
      </c>
      <c r="B270" s="27" t="s">
        <v>349</v>
      </c>
      <c r="C270" s="27" t="s">
        <v>360</v>
      </c>
    </row>
    <row r="271" spans="1:3" x14ac:dyDescent="0.35">
      <c r="A271" s="27" t="s">
        <v>421</v>
      </c>
      <c r="B271" s="27" t="s">
        <v>75</v>
      </c>
      <c r="C271" s="27" t="s">
        <v>305</v>
      </c>
    </row>
    <row r="272" spans="1:3" x14ac:dyDescent="0.35">
      <c r="A272" s="27" t="s">
        <v>422</v>
      </c>
      <c r="B272" s="27" t="s">
        <v>32</v>
      </c>
      <c r="C272" s="27" t="s">
        <v>306</v>
      </c>
    </row>
    <row r="273" spans="1:3" x14ac:dyDescent="0.35">
      <c r="A273" s="27" t="s">
        <v>304</v>
      </c>
      <c r="B273" s="27" t="s">
        <v>75</v>
      </c>
      <c r="C273" s="27" t="s">
        <v>305</v>
      </c>
    </row>
    <row r="274" spans="1:3" x14ac:dyDescent="0.35">
      <c r="A274" s="27" t="s">
        <v>307</v>
      </c>
      <c r="B274" s="27" t="s">
        <v>71</v>
      </c>
      <c r="C274" s="27" t="s">
        <v>308</v>
      </c>
    </row>
    <row r="275" spans="1:3" x14ac:dyDescent="0.35">
      <c r="A275" s="27" t="s">
        <v>314</v>
      </c>
      <c r="B275" s="27" t="s">
        <v>71</v>
      </c>
      <c r="C275" s="27" t="s">
        <v>313</v>
      </c>
    </row>
    <row r="276" spans="1:3" x14ac:dyDescent="0.35">
      <c r="A276" s="27" t="s">
        <v>315</v>
      </c>
      <c r="B276" s="27" t="s">
        <v>316</v>
      </c>
      <c r="C276" s="27" t="s">
        <v>317</v>
      </c>
    </row>
    <row r="277" spans="1:3" x14ac:dyDescent="0.35">
      <c r="A277" s="27" t="s">
        <v>328</v>
      </c>
      <c r="B277" s="27" t="s">
        <v>47</v>
      </c>
      <c r="C277" s="27" t="s">
        <v>48</v>
      </c>
    </row>
    <row r="278" spans="1:3" x14ac:dyDescent="0.35">
      <c r="A278" s="27" t="s">
        <v>423</v>
      </c>
      <c r="B278" s="27" t="s">
        <v>216</v>
      </c>
      <c r="C278" s="27" t="s">
        <v>217</v>
      </c>
    </row>
    <row r="279" spans="1:3" x14ac:dyDescent="0.35">
      <c r="A279" s="27" t="s">
        <v>344</v>
      </c>
      <c r="B279" s="27" t="s">
        <v>345</v>
      </c>
      <c r="C279" s="27" t="s">
        <v>346</v>
      </c>
    </row>
    <row r="280" spans="1:3" x14ac:dyDescent="0.35">
      <c r="A280" s="27" t="s">
        <v>424</v>
      </c>
      <c r="B280" s="27" t="s">
        <v>160</v>
      </c>
      <c r="C280" s="27" t="s">
        <v>161</v>
      </c>
    </row>
    <row r="281" spans="1:3" x14ac:dyDescent="0.35">
      <c r="A281" s="28" t="s">
        <v>425</v>
      </c>
      <c r="B281" s="28" t="s">
        <v>426</v>
      </c>
      <c r="C281" s="28" t="s">
        <v>427</v>
      </c>
    </row>
    <row r="282" spans="1:3" x14ac:dyDescent="0.35">
      <c r="A282" s="28" t="s">
        <v>431</v>
      </c>
      <c r="B282" s="28" t="s">
        <v>430</v>
      </c>
      <c r="C282" s="28" t="s">
        <v>429</v>
      </c>
    </row>
  </sheetData>
  <autoFilter ref="A6:C280" xr:uid="{7D2A2426-F403-4C00-AF16-EA28C8E75551}"/>
  <pageMargins left="0.7" right="0.7" top="0.75" bottom="0.75" header="0.3" footer="0.3"/>
  <pageSetup paperSize="9" orientation="portrait" r:id="rId1"/>
  <customProperties>
    <customPr name="LastActive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LDR</vt:lpstr>
      <vt:lpstr>Зарплата</vt:lpstr>
      <vt:lpstr>Пароли</vt:lpstr>
      <vt:lpstr>Зарплата!Область_печати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Винников Макс</dc:creator>
  <cp:lastModifiedBy>NumQ</cp:lastModifiedBy>
  <cp:lastPrinted>2021-05-20T03:44:28Z</cp:lastPrinted>
  <dcterms:created xsi:type="dcterms:W3CDTF">2021-03-15T19:43:44Z</dcterms:created>
  <dcterms:modified xsi:type="dcterms:W3CDTF">2021-11-24T22:31:13Z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CrRepoId">
    <vt:lpwstr>23E0439055DDA0C9322BF764F28CDF7D</vt:lpwstr>
  </property>
  <property fmtid="{D5CDD505-2E9C-101B-9397-08002B2CF9AE}" pid="3" name="VCAutosave">
    <vt:bool>true</vt:bool>
  </property>
  <property fmtid="{D5CDD505-2E9C-101B-9397-08002B2CF9AE}" pid="4" name="tbGitUrl">
    <vt:lpwstr>http://localhost/t2.git</vt:lpwstr>
  </property>
  <property fmtid="{D5CDD505-2E9C-101B-9397-08002B2CF9AE}" pid="5" name="tbGitBranch">
    <vt:lpwstr>master</vt:lpwstr>
  </property>
  <property fmtid="{D5CDD505-2E9C-101B-9397-08002B2CF9AE}" pid="6" name="tbGitUser">
    <vt:lpwstr>adm</vt:lpwstr>
  </property>
  <property fmtid="{D5CDD505-2E9C-101B-9397-08002B2CF9AE}" pid="7" name="tbGitPass">
    <vt:lpwstr>adm</vt:lpwstr>
  </property>
</Properties>
</file>